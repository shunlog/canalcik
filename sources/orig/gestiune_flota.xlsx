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84BC24B-4FA4-473B-95DA-217C098A7D06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Parametri" sheetId="5" r:id="rId1"/>
    <sheet name="Șoferi" sheetId="2" r:id="rId2"/>
    <sheet name="Vehicule" sheetId="1" r:id="rId3"/>
    <sheet name="Acumulatoare" sheetId="9" r:id="rId4"/>
    <sheet name="Anvelope" sheetId="8" r:id="rId5"/>
    <sheet name="Revizii și intervenții" sheetId="3" r:id="rId6"/>
    <sheet name="Pașaport tehnic" sheetId="4" r:id="rId7"/>
    <sheet name="Rapoarte" sheetId="6" r:id="rId8"/>
    <sheet name="VBA_Code" sheetId="7" r:id="rId9"/>
  </sheets>
  <definedNames>
    <definedName name="_xlnm._FilterDatabase" localSheetId="3" hidden="1">Acumulatoare!$A$1:$K$75</definedName>
    <definedName name="_xlnm._FilterDatabase" localSheetId="1" hidden="1">Șoferi!$A$1:$U$78</definedName>
    <definedName name="_xlnm._FilterDatabase" localSheetId="2" hidden="1">Vehicule!$A$1:$M$64</definedName>
  </definedNames>
  <calcPr calcId="191029"/>
</workbook>
</file>

<file path=xl/calcChain.xml><?xml version="1.0" encoding="utf-8"?>
<calcChain xmlns="http://schemas.openxmlformats.org/spreadsheetml/2006/main">
  <c r="AB169" i="8" l="1"/>
  <c r="AB162" i="8"/>
  <c r="AB163" i="8" s="1"/>
  <c r="AB164" i="8" s="1"/>
  <c r="AB155" i="8"/>
  <c r="AB148" i="8"/>
  <c r="AB149" i="8" s="1"/>
  <c r="AB150" i="8" s="1"/>
  <c r="AB141" i="8"/>
  <c r="AB142" i="8" s="1"/>
  <c r="AB143" i="8" s="1"/>
  <c r="AB130" i="8"/>
  <c r="AB125" i="8"/>
  <c r="AB118" i="8"/>
  <c r="AB119" i="8" s="1"/>
  <c r="AB120" i="8" s="1"/>
  <c r="AB111" i="8"/>
  <c r="AB104" i="8"/>
  <c r="AB99" i="8"/>
  <c r="AB100" i="8" s="1"/>
  <c r="AB101" i="8" s="1"/>
  <c r="AB92" i="8"/>
  <c r="AB85" i="8"/>
  <c r="AB86" i="8" s="1"/>
  <c r="AB87" i="8" s="1"/>
  <c r="AB78" i="8"/>
  <c r="AB71" i="8"/>
  <c r="AB72" i="8" s="1"/>
  <c r="AB73" i="8" s="1"/>
  <c r="AB74" i="8" s="1"/>
  <c r="AB75" i="8" s="1"/>
  <c r="AB64" i="8"/>
  <c r="AB65" i="8" s="1"/>
  <c r="AB66" i="8" s="1"/>
  <c r="AB67" i="8" s="1"/>
  <c r="AB68" i="8" s="1"/>
  <c r="AB57" i="8"/>
  <c r="AB58" i="8" s="1"/>
  <c r="AB59" i="8" s="1"/>
  <c r="AB60" i="8" s="1"/>
  <c r="AB61" i="8" s="1"/>
  <c r="AB50" i="8"/>
  <c r="AB51" i="8" s="1"/>
  <c r="AB52" i="8" s="1"/>
  <c r="AB53" i="8" s="1"/>
  <c r="AB54" i="8" s="1"/>
  <c r="AB43" i="8"/>
  <c r="AB44" i="8" s="1"/>
  <c r="AB45" i="8" s="1"/>
  <c r="AB46" i="8" s="1"/>
  <c r="AB47" i="8" s="1"/>
  <c r="AB32" i="8"/>
  <c r="AB21" i="8"/>
  <c r="AB14" i="8"/>
  <c r="AB3" i="8"/>
  <c r="AB4" i="8" s="1"/>
  <c r="AB5" i="8" s="1"/>
  <c r="Y18" i="8"/>
  <c r="Y4" i="8"/>
  <c r="Y5" i="8"/>
  <c r="Y11" i="8"/>
  <c r="AA13" i="8"/>
  <c r="Y15" i="8"/>
  <c r="AA20" i="8"/>
  <c r="Y24" i="8"/>
  <c r="Y25" i="8"/>
  <c r="Y29" i="8"/>
  <c r="AA31" i="8"/>
  <c r="Y35" i="8"/>
  <c r="Y36" i="8"/>
  <c r="AA42" i="8"/>
  <c r="Y44" i="8"/>
  <c r="Y45" i="8"/>
  <c r="Y49" i="8"/>
  <c r="Z49" i="8" s="1"/>
  <c r="Y52" i="8"/>
  <c r="Y53" i="8"/>
  <c r="Y57" i="8"/>
  <c r="Y60" i="8"/>
  <c r="Y61" i="8"/>
  <c r="Y68" i="8"/>
  <c r="AA70" i="8"/>
  <c r="Y73" i="8"/>
  <c r="Y75" i="8"/>
  <c r="Y77" i="8"/>
  <c r="Z77" i="8" s="1"/>
  <c r="Y81" i="8"/>
  <c r="Y84" i="8"/>
  <c r="Z84" i="8" s="1"/>
  <c r="Y85" i="8"/>
  <c r="Y96" i="8"/>
  <c r="Y98" i="8"/>
  <c r="Z98" i="8" s="1"/>
  <c r="Y99" i="8"/>
  <c r="Y101" i="8"/>
  <c r="Y103" i="8"/>
  <c r="Z103" i="8" s="1"/>
  <c r="Y104" i="8"/>
  <c r="Y105" i="8"/>
  <c r="Y106" i="8"/>
  <c r="Y110" i="8"/>
  <c r="Z110" i="8" s="1"/>
  <c r="Y111" i="8"/>
  <c r="Z111" i="8" s="1"/>
  <c r="Y112" i="8"/>
  <c r="Y113" i="8"/>
  <c r="Y114" i="8"/>
  <c r="Y115" i="8"/>
  <c r="Y117" i="8"/>
  <c r="Z117" i="8" s="1"/>
  <c r="Y118" i="8"/>
  <c r="Y119" i="8"/>
  <c r="Y120" i="8"/>
  <c r="Y121" i="8"/>
  <c r="Y122" i="8"/>
  <c r="AA124" i="8"/>
  <c r="Y126" i="8"/>
  <c r="Y127" i="8"/>
  <c r="Y129" i="8"/>
  <c r="Z129" i="8" s="1"/>
  <c r="Y130" i="8"/>
  <c r="Y131" i="8"/>
  <c r="Y132" i="8"/>
  <c r="Y133" i="8"/>
  <c r="Y134" i="8"/>
  <c r="Y135" i="8"/>
  <c r="Y136" i="8"/>
  <c r="Y138" i="8"/>
  <c r="Y140" i="8"/>
  <c r="Z140" i="8" s="1"/>
  <c r="Y141" i="8"/>
  <c r="Y142" i="8"/>
  <c r="Y144" i="8"/>
  <c r="Y145" i="8"/>
  <c r="Y147" i="8"/>
  <c r="Z147" i="8" s="1"/>
  <c r="Y148" i="8"/>
  <c r="Y149" i="8"/>
  <c r="Y152" i="8"/>
  <c r="AA154" i="8"/>
  <c r="AA155" i="8"/>
  <c r="Y156" i="8"/>
  <c r="Y157" i="8"/>
  <c r="Y158" i="8"/>
  <c r="Y161" i="8"/>
  <c r="Z161" i="8" s="1"/>
  <c r="Y162" i="8"/>
  <c r="Z162" i="8" s="1"/>
  <c r="Y163" i="8"/>
  <c r="Y164" i="8"/>
  <c r="Y168" i="8"/>
  <c r="Z168" i="8" s="1"/>
  <c r="Y169" i="8"/>
  <c r="Y170" i="8"/>
  <c r="Y171" i="8"/>
  <c r="Y172" i="8"/>
  <c r="Y173" i="8"/>
  <c r="Y176" i="8"/>
  <c r="Y177" i="8"/>
  <c r="Y178" i="8"/>
  <c r="Y179" i="8"/>
  <c r="Y180" i="8"/>
  <c r="J2" i="8"/>
  <c r="L2" i="8" s="1"/>
  <c r="J160" i="8"/>
  <c r="L160" i="8" s="1"/>
  <c r="J155" i="8"/>
  <c r="L155" i="8" s="1"/>
  <c r="J150" i="8"/>
  <c r="L150" i="8" s="1"/>
  <c r="J145" i="8"/>
  <c r="L145" i="8" s="1"/>
  <c r="J140" i="8"/>
  <c r="L140" i="8" s="1"/>
  <c r="J135" i="8"/>
  <c r="L135" i="8" s="1"/>
  <c r="J159" i="8"/>
  <c r="L159" i="8" s="1"/>
  <c r="J154" i="8"/>
  <c r="L154" i="8" s="1"/>
  <c r="J149" i="8"/>
  <c r="L149" i="8" s="1"/>
  <c r="J144" i="8"/>
  <c r="L144" i="8" s="1"/>
  <c r="J139" i="8"/>
  <c r="L139" i="8" s="1"/>
  <c r="J134" i="8"/>
  <c r="L134" i="8" s="1"/>
  <c r="J158" i="8"/>
  <c r="L158" i="8" s="1"/>
  <c r="J153" i="8"/>
  <c r="L153" i="8" s="1"/>
  <c r="J148" i="8"/>
  <c r="L148" i="8" s="1"/>
  <c r="J143" i="8"/>
  <c r="L143" i="8" s="1"/>
  <c r="J138" i="8"/>
  <c r="L138" i="8" s="1"/>
  <c r="J133" i="8"/>
  <c r="L133" i="8" s="1"/>
  <c r="J130" i="8"/>
  <c r="L130" i="8" s="1"/>
  <c r="J125" i="8"/>
  <c r="L125" i="8" s="1"/>
  <c r="J120" i="8"/>
  <c r="L120" i="8" s="1"/>
  <c r="J129" i="8"/>
  <c r="L129" i="8" s="1"/>
  <c r="J124" i="8"/>
  <c r="L124" i="8" s="1"/>
  <c r="J119" i="8"/>
  <c r="L119" i="8" s="1"/>
  <c r="J128" i="8"/>
  <c r="L128" i="8" s="1"/>
  <c r="J123" i="8"/>
  <c r="L123" i="8" s="1"/>
  <c r="J118" i="8"/>
  <c r="L118" i="8" s="1"/>
  <c r="J115" i="8"/>
  <c r="L115" i="8" s="1"/>
  <c r="J110" i="8"/>
  <c r="L110" i="8" s="1"/>
  <c r="J103" i="8"/>
  <c r="L103" i="8" s="1"/>
  <c r="J114" i="8"/>
  <c r="L114" i="8" s="1"/>
  <c r="J109" i="8"/>
  <c r="L109" i="8" s="1"/>
  <c r="J102" i="8"/>
  <c r="L102" i="8" s="1"/>
  <c r="J113" i="8"/>
  <c r="L113" i="8" s="1"/>
  <c r="J108" i="8"/>
  <c r="L108" i="8" s="1"/>
  <c r="J105" i="8"/>
  <c r="L105" i="8" s="1"/>
  <c r="J100" i="8"/>
  <c r="L100" i="8" s="1"/>
  <c r="J99" i="8"/>
  <c r="L99" i="8" s="1"/>
  <c r="J98" i="8"/>
  <c r="L98" i="8" s="1"/>
  <c r="J95" i="8"/>
  <c r="L95" i="8" s="1"/>
  <c r="J94" i="8"/>
  <c r="L94" i="8" s="1"/>
  <c r="J93" i="8"/>
  <c r="L93" i="8" s="1"/>
  <c r="J90" i="8"/>
  <c r="L90" i="8" s="1"/>
  <c r="J89" i="8"/>
  <c r="L89" i="8" s="1"/>
  <c r="J88" i="8"/>
  <c r="L88" i="8" s="1"/>
  <c r="J85" i="8"/>
  <c r="L85" i="8" s="1"/>
  <c r="J84" i="8"/>
  <c r="L84" i="8" s="1"/>
  <c r="J83" i="8"/>
  <c r="L83" i="8" s="1"/>
  <c r="J80" i="8"/>
  <c r="L80" i="8" s="1"/>
  <c r="J79" i="8"/>
  <c r="L79" i="8" s="1"/>
  <c r="J78" i="8"/>
  <c r="L78" i="8" s="1"/>
  <c r="J75" i="8"/>
  <c r="L75" i="8" s="1"/>
  <c r="J74" i="8"/>
  <c r="L74" i="8" s="1"/>
  <c r="J73" i="8"/>
  <c r="L73" i="8" s="1"/>
  <c r="J68" i="8"/>
  <c r="L68" i="8" s="1"/>
  <c r="J67" i="8"/>
  <c r="L67" i="8" s="1"/>
  <c r="J70" i="8"/>
  <c r="L70" i="8" s="1"/>
  <c r="J65" i="8"/>
  <c r="L65" i="8" s="1"/>
  <c r="J64" i="8"/>
  <c r="L64" i="8" s="1"/>
  <c r="J63" i="8"/>
  <c r="L63" i="8" s="1"/>
  <c r="J60" i="8"/>
  <c r="L60" i="8" s="1"/>
  <c r="J59" i="8"/>
  <c r="L59" i="8" s="1"/>
  <c r="J58" i="8"/>
  <c r="L58" i="8" s="1"/>
  <c r="J57" i="8"/>
  <c r="L57" i="8" s="1"/>
  <c r="J55" i="8"/>
  <c r="L55" i="8" s="1"/>
  <c r="J54" i="8"/>
  <c r="L54" i="8" s="1"/>
  <c r="J53" i="8"/>
  <c r="L53" i="8" s="1"/>
  <c r="J50" i="8"/>
  <c r="L50" i="8" s="1"/>
  <c r="J49" i="8"/>
  <c r="L49" i="8" s="1"/>
  <c r="J48" i="8"/>
  <c r="L48" i="8" s="1"/>
  <c r="J45" i="8"/>
  <c r="L45" i="8" s="1"/>
  <c r="J44" i="8"/>
  <c r="L44" i="8" s="1"/>
  <c r="J43" i="8"/>
  <c r="L43" i="8" s="1"/>
  <c r="J40" i="8"/>
  <c r="L40" i="8" s="1"/>
  <c r="J39" i="8"/>
  <c r="L39" i="8" s="1"/>
  <c r="J38" i="8"/>
  <c r="L38" i="8" s="1"/>
  <c r="J35" i="8"/>
  <c r="L35" i="8" s="1"/>
  <c r="J34" i="8"/>
  <c r="L34" i="8" s="1"/>
  <c r="J33" i="8"/>
  <c r="L33" i="8" s="1"/>
  <c r="J30" i="8"/>
  <c r="L30" i="8" s="1"/>
  <c r="J29" i="8"/>
  <c r="L29" i="8" s="1"/>
  <c r="J28" i="8"/>
  <c r="L28" i="8" s="1"/>
  <c r="J23" i="8"/>
  <c r="L23" i="8" s="1"/>
  <c r="J22" i="8"/>
  <c r="L22" i="8" s="1"/>
  <c r="J25" i="8"/>
  <c r="L25" i="8" s="1"/>
  <c r="J20" i="8"/>
  <c r="L20" i="8" s="1"/>
  <c r="J19" i="8"/>
  <c r="L19" i="8" s="1"/>
  <c r="J18" i="8"/>
  <c r="L18" i="8" s="1"/>
  <c r="J15" i="8"/>
  <c r="L15" i="8" s="1"/>
  <c r="J14" i="8"/>
  <c r="L14" i="8" s="1"/>
  <c r="J13" i="8"/>
  <c r="L13" i="8" s="1"/>
  <c r="J10" i="8"/>
  <c r="L10" i="8" s="1"/>
  <c r="J9" i="8"/>
  <c r="L9" i="8" s="1"/>
  <c r="J8" i="8"/>
  <c r="L8" i="8" s="1"/>
  <c r="J5" i="8"/>
  <c r="L5" i="8" s="1"/>
  <c r="J4" i="8"/>
  <c r="L4" i="8" s="1"/>
  <c r="J7" i="8"/>
  <c r="L7" i="8" s="1"/>
  <c r="J157" i="8"/>
  <c r="L157" i="8" s="1"/>
  <c r="J152" i="8"/>
  <c r="L152" i="8" s="1"/>
  <c r="J147" i="8"/>
  <c r="L147" i="8" s="1"/>
  <c r="J142" i="8"/>
  <c r="L142" i="8" s="1"/>
  <c r="J137" i="8"/>
  <c r="L137" i="8" s="1"/>
  <c r="J132" i="8"/>
  <c r="L132" i="8" s="1"/>
  <c r="AA2" i="8"/>
  <c r="J127" i="8"/>
  <c r="L127" i="8" s="1"/>
  <c r="J122" i="8"/>
  <c r="L122" i="8" s="1"/>
  <c r="J117" i="8"/>
  <c r="L117" i="8" s="1"/>
  <c r="J112" i="8"/>
  <c r="L112" i="8" s="1"/>
  <c r="J107" i="8"/>
  <c r="L107" i="8" s="1"/>
  <c r="J104" i="8"/>
  <c r="L104" i="8" s="1"/>
  <c r="J97" i="8"/>
  <c r="L97" i="8" s="1"/>
  <c r="J92" i="8"/>
  <c r="L92" i="8" s="1"/>
  <c r="J87" i="8"/>
  <c r="L87" i="8" s="1"/>
  <c r="J82" i="8"/>
  <c r="L82" i="8" s="1"/>
  <c r="J77" i="8"/>
  <c r="L77" i="8" s="1"/>
  <c r="J72" i="8"/>
  <c r="L72" i="8" s="1"/>
  <c r="J69" i="8"/>
  <c r="L69" i="8" s="1"/>
  <c r="J62" i="8"/>
  <c r="L62" i="8" s="1"/>
  <c r="J52" i="8"/>
  <c r="L52" i="8" s="1"/>
  <c r="J47" i="8"/>
  <c r="L47" i="8" s="1"/>
  <c r="J42" i="8"/>
  <c r="L42" i="8" s="1"/>
  <c r="J37" i="8"/>
  <c r="L37" i="8" s="1"/>
  <c r="J32" i="8"/>
  <c r="L32" i="8" s="1"/>
  <c r="J27" i="8"/>
  <c r="L27" i="8" s="1"/>
  <c r="J24" i="8"/>
  <c r="L24" i="8" s="1"/>
  <c r="J17" i="8"/>
  <c r="L17" i="8" s="1"/>
  <c r="J12" i="8"/>
  <c r="L12" i="8" s="1"/>
  <c r="J3" i="8"/>
  <c r="L3" i="8" s="1"/>
  <c r="I68" i="9"/>
  <c r="K68" i="9" s="1"/>
  <c r="I27" i="9"/>
  <c r="K27" i="9" s="1"/>
  <c r="I58" i="9"/>
  <c r="K58" i="9" s="1"/>
  <c r="I57" i="9"/>
  <c r="K57" i="9" s="1"/>
  <c r="I53" i="9"/>
  <c r="K53" i="9" s="1"/>
  <c r="I67" i="9"/>
  <c r="K67" i="9" s="1"/>
  <c r="I60" i="9"/>
  <c r="K60" i="9" s="1"/>
  <c r="I61" i="9"/>
  <c r="K61" i="9" s="1"/>
  <c r="I64" i="9"/>
  <c r="K64" i="9" s="1"/>
  <c r="I65" i="9"/>
  <c r="K65" i="9" s="1"/>
  <c r="I39" i="9"/>
  <c r="K39" i="9" s="1"/>
  <c r="I40" i="9"/>
  <c r="K40" i="9" s="1"/>
  <c r="I55" i="9"/>
  <c r="K55" i="9" s="1"/>
  <c r="I56" i="9"/>
  <c r="K56" i="9" s="1"/>
  <c r="I74" i="9"/>
  <c r="K74" i="9" s="1"/>
  <c r="I14" i="9"/>
  <c r="K14" i="9" s="1"/>
  <c r="I15" i="9"/>
  <c r="K15" i="9" s="1"/>
  <c r="I16" i="9"/>
  <c r="K16" i="9" s="1"/>
  <c r="I50" i="9"/>
  <c r="K50" i="9" s="1"/>
  <c r="I75" i="9"/>
  <c r="K75" i="9" s="1"/>
  <c r="I21" i="9"/>
  <c r="K21" i="9" s="1"/>
  <c r="I22" i="9"/>
  <c r="K22" i="9" s="1"/>
  <c r="I46" i="9"/>
  <c r="K46" i="9" s="1"/>
  <c r="I47" i="9"/>
  <c r="K47" i="9" s="1"/>
  <c r="I28" i="9"/>
  <c r="K28" i="9" s="1"/>
  <c r="I29" i="9"/>
  <c r="K29" i="9" s="1"/>
  <c r="I10" i="9"/>
  <c r="K10" i="9" s="1"/>
  <c r="I52" i="9"/>
  <c r="K52" i="9" s="1"/>
  <c r="I59" i="9"/>
  <c r="K59" i="9" s="1"/>
  <c r="I62" i="9"/>
  <c r="K62" i="9" s="1"/>
  <c r="I63" i="9"/>
  <c r="K63" i="9" s="1"/>
  <c r="I4" i="9"/>
  <c r="K4" i="9" s="1"/>
  <c r="I13" i="9"/>
  <c r="K13" i="9" s="1"/>
  <c r="I6" i="9"/>
  <c r="K6" i="9" s="1"/>
  <c r="I2" i="9"/>
  <c r="K2" i="9" s="1"/>
  <c r="I23" i="9"/>
  <c r="K23" i="9" s="1"/>
  <c r="I3" i="9"/>
  <c r="K3" i="9" s="1"/>
  <c r="I41" i="9"/>
  <c r="K41" i="9" s="1"/>
  <c r="I42" i="9"/>
  <c r="K42" i="9" s="1"/>
  <c r="I25" i="9"/>
  <c r="K25" i="9" s="1"/>
  <c r="I26" i="9"/>
  <c r="K26" i="9" s="1"/>
  <c r="I33" i="9"/>
  <c r="K33" i="9" s="1"/>
  <c r="I34" i="9"/>
  <c r="K34" i="9" s="1"/>
  <c r="I8" i="9"/>
  <c r="K8" i="9" s="1"/>
  <c r="I9" i="9"/>
  <c r="K9" i="9" s="1"/>
  <c r="I17" i="9"/>
  <c r="K17" i="9" s="1"/>
  <c r="I18" i="9"/>
  <c r="K18" i="9" s="1"/>
  <c r="I35" i="9"/>
  <c r="K35" i="9" s="1"/>
  <c r="I36" i="9"/>
  <c r="K36" i="9" s="1"/>
  <c r="I43" i="9"/>
  <c r="K43" i="9" s="1"/>
  <c r="I31" i="9"/>
  <c r="K31" i="9" s="1"/>
  <c r="I51" i="9"/>
  <c r="K51" i="9" s="1"/>
  <c r="I45" i="9"/>
  <c r="K45" i="9" s="1"/>
  <c r="I7" i="9"/>
  <c r="K7" i="9" s="1"/>
  <c r="I44" i="9"/>
  <c r="K44" i="9" s="1"/>
  <c r="I32" i="9"/>
  <c r="K32" i="9" s="1"/>
  <c r="I69" i="9"/>
  <c r="K69" i="9" s="1"/>
  <c r="I30" i="9"/>
  <c r="K30" i="9" s="1"/>
  <c r="I72" i="9"/>
  <c r="K72" i="9" s="1"/>
  <c r="I19" i="9"/>
  <c r="K19" i="9" s="1"/>
  <c r="I20" i="9"/>
  <c r="K20" i="9" s="1"/>
  <c r="I12" i="9"/>
  <c r="K12" i="9" s="1"/>
  <c r="I11" i="9"/>
  <c r="K11" i="9" s="1"/>
  <c r="I37" i="9"/>
  <c r="K37" i="9" s="1"/>
  <c r="I38" i="9"/>
  <c r="K38" i="9" s="1"/>
  <c r="I66" i="9"/>
  <c r="K66" i="9" s="1"/>
  <c r="I70" i="9"/>
  <c r="K70" i="9" s="1"/>
  <c r="I73" i="9"/>
  <c r="K73" i="9" s="1"/>
  <c r="I48" i="9"/>
  <c r="K48" i="9" s="1"/>
  <c r="I49" i="9"/>
  <c r="K49" i="9" s="1"/>
  <c r="I5" i="9"/>
  <c r="K5" i="9" s="1"/>
  <c r="I24" i="9"/>
  <c r="K24" i="9" s="1"/>
  <c r="I71" i="9"/>
  <c r="K71" i="9" s="1"/>
  <c r="I54" i="9"/>
  <c r="K54" i="9" s="1"/>
  <c r="O2" i="2"/>
  <c r="B2" i="6"/>
  <c r="N80" i="2"/>
  <c r="M80" i="2"/>
  <c r="L80" i="2"/>
  <c r="K80" i="2"/>
  <c r="J80" i="2"/>
  <c r="O80" i="2" s="1"/>
  <c r="N78" i="2"/>
  <c r="S78" i="2" s="1"/>
  <c r="M78" i="2"/>
  <c r="L78" i="2"/>
  <c r="Q78" i="2" s="1"/>
  <c r="K78" i="2"/>
  <c r="J78" i="2"/>
  <c r="N72" i="2"/>
  <c r="N73" i="2" s="1"/>
  <c r="S73" i="2" s="1"/>
  <c r="M72" i="2"/>
  <c r="R72" i="2" s="1"/>
  <c r="L72" i="2"/>
  <c r="Q72" i="2" s="1"/>
  <c r="K72" i="2"/>
  <c r="K73" i="2" s="1"/>
  <c r="P73" i="2" s="1"/>
  <c r="J72" i="2"/>
  <c r="J73" i="2" s="1"/>
  <c r="O73" i="2" s="1"/>
  <c r="N66" i="2"/>
  <c r="M66" i="2"/>
  <c r="L66" i="2"/>
  <c r="K66" i="2"/>
  <c r="P66" i="2" s="1"/>
  <c r="J66" i="2"/>
  <c r="N61" i="2"/>
  <c r="N62" i="2" s="1"/>
  <c r="S62" i="2" s="1"/>
  <c r="M61" i="2"/>
  <c r="R61" i="2" s="1"/>
  <c r="L62" i="2"/>
  <c r="Q62" i="2" s="1"/>
  <c r="L61" i="2"/>
  <c r="K61" i="2"/>
  <c r="K62" i="2" s="1"/>
  <c r="P62" i="2" s="1"/>
  <c r="J61" i="2"/>
  <c r="J62" i="2" s="1"/>
  <c r="O62" i="2" s="1"/>
  <c r="N53" i="2"/>
  <c r="S53" i="2" s="1"/>
  <c r="M53" i="2"/>
  <c r="R53" i="2" s="1"/>
  <c r="L53" i="2"/>
  <c r="Q53" i="2" s="1"/>
  <c r="K53" i="2"/>
  <c r="J53" i="2"/>
  <c r="O53" i="2" s="1"/>
  <c r="N50" i="2"/>
  <c r="N51" i="2" s="1"/>
  <c r="S51" i="2" s="1"/>
  <c r="M50" i="2"/>
  <c r="M51" i="2" s="1"/>
  <c r="R51" i="2" s="1"/>
  <c r="L50" i="2"/>
  <c r="Q50" i="2" s="1"/>
  <c r="K50" i="2"/>
  <c r="P50" i="2" s="1"/>
  <c r="J50" i="2"/>
  <c r="J51" i="2" s="1"/>
  <c r="O51" i="2" s="1"/>
  <c r="N45" i="2"/>
  <c r="M45" i="2"/>
  <c r="L45" i="2"/>
  <c r="Q45" i="2" s="1"/>
  <c r="K45" i="2"/>
  <c r="P45" i="2" s="1"/>
  <c r="J45" i="2"/>
  <c r="N38" i="2"/>
  <c r="S38" i="2" s="1"/>
  <c r="M38" i="2"/>
  <c r="L38" i="2"/>
  <c r="K38" i="2"/>
  <c r="J38" i="2"/>
  <c r="N35" i="2"/>
  <c r="S35" i="2" s="1"/>
  <c r="M35" i="2"/>
  <c r="R35" i="2" s="1"/>
  <c r="L35" i="2"/>
  <c r="Q35" i="2" s="1"/>
  <c r="K35" i="2"/>
  <c r="P35" i="2" s="1"/>
  <c r="J35" i="2"/>
  <c r="N32" i="2"/>
  <c r="N33" i="2" s="1"/>
  <c r="S33" i="2" s="1"/>
  <c r="M32" i="2"/>
  <c r="M33" i="2" s="1"/>
  <c r="R33" i="2" s="1"/>
  <c r="L33" i="2"/>
  <c r="Q33" i="2" s="1"/>
  <c r="L32" i="2"/>
  <c r="K33" i="2"/>
  <c r="P33" i="2" s="1"/>
  <c r="K32" i="2"/>
  <c r="P32" i="2" s="1"/>
  <c r="J32" i="2"/>
  <c r="J33" i="2" s="1"/>
  <c r="O33" i="2" s="1"/>
  <c r="N26" i="2"/>
  <c r="N27" i="2" s="1"/>
  <c r="S27" i="2" s="1"/>
  <c r="M27" i="2"/>
  <c r="R27" i="2" s="1"/>
  <c r="M26" i="2"/>
  <c r="L27" i="2"/>
  <c r="Q27" i="2" s="1"/>
  <c r="L26" i="2"/>
  <c r="K26" i="2"/>
  <c r="K27" i="2" s="1"/>
  <c r="P27" i="2" s="1"/>
  <c r="J26" i="2"/>
  <c r="J27" i="2" s="1"/>
  <c r="O27" i="2" s="1"/>
  <c r="N22" i="2"/>
  <c r="S22" i="2" s="1"/>
  <c r="M22" i="2"/>
  <c r="M23" i="2" s="1"/>
  <c r="R23" i="2" s="1"/>
  <c r="L22" i="2"/>
  <c r="L23" i="2" s="1"/>
  <c r="Q23" i="2" s="1"/>
  <c r="K22" i="2"/>
  <c r="P22" i="2" s="1"/>
  <c r="J22" i="2"/>
  <c r="J23" i="2" s="1"/>
  <c r="O23" i="2" s="1"/>
  <c r="N12" i="2"/>
  <c r="S12" i="2" s="1"/>
  <c r="M12" i="2"/>
  <c r="R12" i="2" s="1"/>
  <c r="L12" i="2"/>
  <c r="K12" i="2"/>
  <c r="J12" i="2"/>
  <c r="N5" i="2"/>
  <c r="M5" i="2"/>
  <c r="R5" i="2" s="1"/>
  <c r="L5" i="2"/>
  <c r="Q5" i="2" s="1"/>
  <c r="K5" i="2"/>
  <c r="J5" i="2"/>
  <c r="O5" i="2" s="1"/>
  <c r="P18" i="2"/>
  <c r="S79" i="2"/>
  <c r="R79" i="2"/>
  <c r="Q79" i="2"/>
  <c r="P79" i="2"/>
  <c r="O79" i="2"/>
  <c r="T79" i="2" s="1"/>
  <c r="S44" i="2"/>
  <c r="R44" i="2"/>
  <c r="Q44" i="2"/>
  <c r="P44" i="2"/>
  <c r="O44" i="2"/>
  <c r="S37" i="2"/>
  <c r="R37" i="2"/>
  <c r="Q37" i="2"/>
  <c r="P37" i="2"/>
  <c r="O37" i="2"/>
  <c r="S21" i="2"/>
  <c r="R21" i="2"/>
  <c r="Q21" i="2"/>
  <c r="P21" i="2"/>
  <c r="O21" i="2"/>
  <c r="S25" i="2"/>
  <c r="R25" i="2"/>
  <c r="Q25" i="2"/>
  <c r="P25" i="2"/>
  <c r="O25" i="2"/>
  <c r="S71" i="2"/>
  <c r="R71" i="2"/>
  <c r="Q71" i="2"/>
  <c r="P71" i="2"/>
  <c r="O71" i="2"/>
  <c r="S60" i="2"/>
  <c r="R60" i="2"/>
  <c r="Q60" i="2"/>
  <c r="P60" i="2"/>
  <c r="O60" i="2"/>
  <c r="S49" i="2"/>
  <c r="R49" i="2"/>
  <c r="Q49" i="2"/>
  <c r="P49" i="2"/>
  <c r="O49" i="2"/>
  <c r="S31" i="2"/>
  <c r="R31" i="2"/>
  <c r="Q31" i="2"/>
  <c r="P31" i="2"/>
  <c r="O31" i="2"/>
  <c r="O9" i="2"/>
  <c r="P9" i="2"/>
  <c r="Q9" i="2"/>
  <c r="R9" i="2"/>
  <c r="S9" i="2"/>
  <c r="S77" i="2"/>
  <c r="R77" i="2"/>
  <c r="Q77" i="2"/>
  <c r="P77" i="2"/>
  <c r="O77" i="2"/>
  <c r="P53" i="2"/>
  <c r="S66" i="2"/>
  <c r="R66" i="2"/>
  <c r="Q66" i="2"/>
  <c r="O66" i="2"/>
  <c r="Q12" i="2"/>
  <c r="P12" i="2"/>
  <c r="O12" i="2"/>
  <c r="S50" i="2"/>
  <c r="O50" i="2"/>
  <c r="S72" i="2"/>
  <c r="P72" i="2"/>
  <c r="O72" i="2"/>
  <c r="S61" i="2"/>
  <c r="Q61" i="2"/>
  <c r="P61" i="2"/>
  <c r="O61" i="2"/>
  <c r="S32" i="2"/>
  <c r="R32" i="2"/>
  <c r="Q32" i="2"/>
  <c r="O32" i="2"/>
  <c r="R22" i="2"/>
  <c r="S4" i="2"/>
  <c r="R4" i="2"/>
  <c r="Q4" i="2"/>
  <c r="P4" i="2"/>
  <c r="O4" i="2"/>
  <c r="O35" i="2"/>
  <c r="E1" i="5"/>
  <c r="O15" i="2"/>
  <c r="P15" i="2"/>
  <c r="Q15" i="2"/>
  <c r="R15" i="2"/>
  <c r="S15" i="2"/>
  <c r="O20" i="2"/>
  <c r="P20" i="2"/>
  <c r="Q20" i="2"/>
  <c r="R20" i="2"/>
  <c r="S20" i="2"/>
  <c r="O48" i="2"/>
  <c r="P48" i="2"/>
  <c r="Q48" i="2"/>
  <c r="R48" i="2"/>
  <c r="S48" i="2"/>
  <c r="O57" i="2"/>
  <c r="P57" i="2"/>
  <c r="Q57" i="2"/>
  <c r="R57" i="2"/>
  <c r="S57" i="2"/>
  <c r="O63" i="2"/>
  <c r="P63" i="2"/>
  <c r="Q63" i="2"/>
  <c r="R63" i="2"/>
  <c r="S63" i="2"/>
  <c r="O26" i="2"/>
  <c r="P26" i="2"/>
  <c r="Q26" i="2"/>
  <c r="R26" i="2"/>
  <c r="S26" i="2"/>
  <c r="O29" i="2"/>
  <c r="P29" i="2"/>
  <c r="Q29" i="2"/>
  <c r="R29" i="2"/>
  <c r="S29" i="2"/>
  <c r="O19" i="2"/>
  <c r="P19" i="2"/>
  <c r="Q19" i="2"/>
  <c r="R19" i="2"/>
  <c r="S19" i="2"/>
  <c r="O70" i="2"/>
  <c r="P70" i="2"/>
  <c r="Q70" i="2"/>
  <c r="R70" i="2"/>
  <c r="S70" i="2"/>
  <c r="O47" i="2"/>
  <c r="P47" i="2"/>
  <c r="Q47" i="2"/>
  <c r="R47" i="2"/>
  <c r="S47" i="2"/>
  <c r="O41" i="2"/>
  <c r="P41" i="2"/>
  <c r="Q41" i="2"/>
  <c r="R41" i="2"/>
  <c r="S41" i="2"/>
  <c r="P5" i="2"/>
  <c r="S5" i="2"/>
  <c r="O6" i="2"/>
  <c r="P6" i="2"/>
  <c r="Q6" i="2"/>
  <c r="R6" i="2"/>
  <c r="S6" i="2"/>
  <c r="O18" i="2"/>
  <c r="Q18" i="2"/>
  <c r="R18" i="2"/>
  <c r="S18" i="2"/>
  <c r="O76" i="2"/>
  <c r="P76" i="2"/>
  <c r="Q76" i="2"/>
  <c r="R76" i="2"/>
  <c r="S76" i="2"/>
  <c r="O59" i="2"/>
  <c r="P59" i="2"/>
  <c r="Q59" i="2"/>
  <c r="R59" i="2"/>
  <c r="S59" i="2"/>
  <c r="O67" i="2"/>
  <c r="P67" i="2"/>
  <c r="Q67" i="2"/>
  <c r="R67" i="2"/>
  <c r="S67" i="2"/>
  <c r="P2" i="2"/>
  <c r="Q2" i="2"/>
  <c r="R2" i="2"/>
  <c r="S2" i="2"/>
  <c r="O52" i="2"/>
  <c r="P52" i="2"/>
  <c r="Q52" i="2"/>
  <c r="R52" i="2"/>
  <c r="S52" i="2"/>
  <c r="O42" i="2"/>
  <c r="P42" i="2"/>
  <c r="Q42" i="2"/>
  <c r="R42" i="2"/>
  <c r="S42" i="2"/>
  <c r="O75" i="2"/>
  <c r="P75" i="2"/>
  <c r="Q75" i="2"/>
  <c r="R75" i="2"/>
  <c r="S75" i="2"/>
  <c r="O58" i="2"/>
  <c r="P58" i="2"/>
  <c r="Q58" i="2"/>
  <c r="R58" i="2"/>
  <c r="S58" i="2"/>
  <c r="O10" i="2"/>
  <c r="P10" i="2"/>
  <c r="Q10" i="2"/>
  <c r="R10" i="2"/>
  <c r="S10" i="2"/>
  <c r="O11" i="2"/>
  <c r="P11" i="2"/>
  <c r="Q11" i="2"/>
  <c r="R11" i="2"/>
  <c r="S11" i="2"/>
  <c r="O13" i="2"/>
  <c r="P13" i="2"/>
  <c r="Q13" i="2"/>
  <c r="R13" i="2"/>
  <c r="S13" i="2"/>
  <c r="O55" i="2"/>
  <c r="P55" i="2"/>
  <c r="Q55" i="2"/>
  <c r="R55" i="2"/>
  <c r="S55" i="2"/>
  <c r="O40" i="2"/>
  <c r="P40" i="2"/>
  <c r="Q40" i="2"/>
  <c r="R40" i="2"/>
  <c r="S40" i="2"/>
  <c r="O45" i="2"/>
  <c r="R45" i="2"/>
  <c r="S45" i="2"/>
  <c r="O65" i="2"/>
  <c r="P65" i="2"/>
  <c r="Q65" i="2"/>
  <c r="R65" i="2"/>
  <c r="S65" i="2"/>
  <c r="O68" i="2"/>
  <c r="P68" i="2"/>
  <c r="Q68" i="2"/>
  <c r="R68" i="2"/>
  <c r="S68" i="2"/>
  <c r="O38" i="2"/>
  <c r="P38" i="2"/>
  <c r="Q38" i="2"/>
  <c r="R38" i="2"/>
  <c r="O7" i="2"/>
  <c r="P7" i="2"/>
  <c r="Q7" i="2"/>
  <c r="R7" i="2"/>
  <c r="S7" i="2"/>
  <c r="O69" i="2"/>
  <c r="P69" i="2"/>
  <c r="Q69" i="2"/>
  <c r="R69" i="2"/>
  <c r="S69" i="2"/>
  <c r="O64" i="2"/>
  <c r="P64" i="2"/>
  <c r="Q64" i="2"/>
  <c r="R64" i="2"/>
  <c r="S64" i="2"/>
  <c r="O54" i="2"/>
  <c r="P54" i="2"/>
  <c r="Q54" i="2"/>
  <c r="R54" i="2"/>
  <c r="S54" i="2"/>
  <c r="O14" i="2"/>
  <c r="P14" i="2"/>
  <c r="Q14" i="2"/>
  <c r="R14" i="2"/>
  <c r="S14" i="2"/>
  <c r="O39" i="2"/>
  <c r="P39" i="2"/>
  <c r="Q39" i="2"/>
  <c r="R39" i="2"/>
  <c r="S39" i="2"/>
  <c r="O30" i="2"/>
  <c r="P30" i="2"/>
  <c r="Q30" i="2"/>
  <c r="R30" i="2"/>
  <c r="S30" i="2"/>
  <c r="O56" i="2"/>
  <c r="P56" i="2"/>
  <c r="Q56" i="2"/>
  <c r="R56" i="2"/>
  <c r="S56" i="2"/>
  <c r="O36" i="2"/>
  <c r="P36" i="2"/>
  <c r="Q36" i="2"/>
  <c r="R36" i="2"/>
  <c r="S36" i="2"/>
  <c r="O8" i="2"/>
  <c r="P8" i="2"/>
  <c r="Q8" i="2"/>
  <c r="R8" i="2"/>
  <c r="S8" i="2"/>
  <c r="O24" i="2"/>
  <c r="P24" i="2"/>
  <c r="Q24" i="2"/>
  <c r="R24" i="2"/>
  <c r="S24" i="2"/>
  <c r="O16" i="2"/>
  <c r="P16" i="2"/>
  <c r="Q16" i="2"/>
  <c r="R16" i="2"/>
  <c r="S16" i="2"/>
  <c r="O3" i="2"/>
  <c r="P3" i="2"/>
  <c r="Q3" i="2"/>
  <c r="R3" i="2"/>
  <c r="S3" i="2"/>
  <c r="O34" i="2"/>
  <c r="P34" i="2"/>
  <c r="Q34" i="2"/>
  <c r="R34" i="2"/>
  <c r="S34" i="2"/>
  <c r="O74" i="2"/>
  <c r="P74" i="2"/>
  <c r="Q74" i="2"/>
  <c r="R74" i="2"/>
  <c r="S74" i="2"/>
  <c r="P80" i="2"/>
  <c r="Q80" i="2"/>
  <c r="R80" i="2"/>
  <c r="S80" i="2"/>
  <c r="O43" i="2"/>
  <c r="P43" i="2"/>
  <c r="Q43" i="2"/>
  <c r="R43" i="2"/>
  <c r="S43" i="2"/>
  <c r="O78" i="2"/>
  <c r="P78" i="2"/>
  <c r="R78" i="2"/>
  <c r="O17" i="2"/>
  <c r="P17" i="2"/>
  <c r="Q17" i="2"/>
  <c r="R17" i="2"/>
  <c r="S17" i="2"/>
  <c r="O46" i="2"/>
  <c r="P46" i="2"/>
  <c r="Q46" i="2"/>
  <c r="R46" i="2"/>
  <c r="S46" i="2"/>
  <c r="O28" i="2"/>
  <c r="P28" i="2"/>
  <c r="Q28" i="2"/>
  <c r="R28" i="2"/>
  <c r="S28" i="2"/>
  <c r="B4" i="6"/>
  <c r="B3" i="6"/>
  <c r="I2" i="3"/>
  <c r="AB105" i="8" l="1"/>
  <c r="AB106" i="8" s="1"/>
  <c r="AB107" i="8" s="1"/>
  <c r="AB108" i="8" s="1"/>
  <c r="AA108" i="8" s="1"/>
  <c r="AB112" i="8"/>
  <c r="AB113" i="8" s="1"/>
  <c r="AB114" i="8" s="1"/>
  <c r="AB115" i="8" s="1"/>
  <c r="AB126" i="8"/>
  <c r="AB127" i="8" s="1"/>
  <c r="AA127" i="8" s="1"/>
  <c r="AB93" i="8"/>
  <c r="AB94" i="8" s="1"/>
  <c r="AA94" i="8" s="1"/>
  <c r="Y175" i="8"/>
  <c r="Z175" i="8" s="1"/>
  <c r="Z104" i="8"/>
  <c r="AA125" i="8"/>
  <c r="Z85" i="8"/>
  <c r="Z141" i="8"/>
  <c r="Z130" i="8"/>
  <c r="AB15" i="8"/>
  <c r="AB16" i="8" s="1"/>
  <c r="AB88" i="8" s="1"/>
  <c r="Z163" i="8"/>
  <c r="Z57" i="8"/>
  <c r="AA78" i="8"/>
  <c r="AA77" i="8"/>
  <c r="Z142" i="8"/>
  <c r="AB79" i="8"/>
  <c r="AB80" i="8" s="1"/>
  <c r="AB81" i="8" s="1"/>
  <c r="AB82" i="8" s="1"/>
  <c r="AA82" i="8" s="1"/>
  <c r="AA50" i="8"/>
  <c r="AA86" i="8"/>
  <c r="AA100" i="8"/>
  <c r="Z44" i="8"/>
  <c r="Z149" i="8"/>
  <c r="Z169" i="8"/>
  <c r="Z119" i="8"/>
  <c r="Z164" i="8"/>
  <c r="AA150" i="8"/>
  <c r="Z148" i="8"/>
  <c r="AA143" i="8"/>
  <c r="Z120" i="8"/>
  <c r="Z118" i="8"/>
  <c r="Z113" i="8"/>
  <c r="Z112" i="8"/>
  <c r="Z115" i="8"/>
  <c r="Z114" i="8"/>
  <c r="Z101" i="8"/>
  <c r="Z99" i="8"/>
  <c r="Z75" i="8"/>
  <c r="Z73" i="8"/>
  <c r="Z68" i="8"/>
  <c r="AA66" i="8"/>
  <c r="AA65" i="8"/>
  <c r="Z61" i="8"/>
  <c r="Z60" i="8"/>
  <c r="AA58" i="8"/>
  <c r="AA54" i="8"/>
  <c r="Z53" i="8"/>
  <c r="Z52" i="8"/>
  <c r="AA46" i="8"/>
  <c r="Z45" i="8"/>
  <c r="Z5" i="8"/>
  <c r="Z4" i="8"/>
  <c r="Y137" i="8"/>
  <c r="Y33" i="8"/>
  <c r="Y34" i="8"/>
  <c r="Y22" i="8"/>
  <c r="Y23" i="8"/>
  <c r="Y16" i="8"/>
  <c r="Y40" i="8"/>
  <c r="Y42" i="8"/>
  <c r="Z42" i="8" s="1"/>
  <c r="Y100" i="8"/>
  <c r="Z100" i="8" s="1"/>
  <c r="Y143" i="8"/>
  <c r="Z143" i="8" s="1"/>
  <c r="Y17" i="8"/>
  <c r="Y150" i="8"/>
  <c r="Z150" i="8" s="1"/>
  <c r="Y108" i="8"/>
  <c r="Y124" i="8"/>
  <c r="Z124" i="8" s="1"/>
  <c r="Y94" i="8"/>
  <c r="Y166" i="8"/>
  <c r="Y93" i="8"/>
  <c r="Y13" i="8"/>
  <c r="Z13" i="8" s="1"/>
  <c r="Y86" i="8"/>
  <c r="Z86" i="8" s="1"/>
  <c r="Y159" i="8"/>
  <c r="Y82" i="8"/>
  <c r="Y6" i="8"/>
  <c r="AA57" i="8"/>
  <c r="Y151" i="8"/>
  <c r="Y65" i="8"/>
  <c r="Z65" i="8" s="1"/>
  <c r="AA162" i="8"/>
  <c r="AA147" i="8"/>
  <c r="AA130" i="8"/>
  <c r="AA117" i="8"/>
  <c r="AA114" i="8"/>
  <c r="AA104" i="8"/>
  <c r="AA98" i="8"/>
  <c r="AA81" i="8"/>
  <c r="AA60" i="8"/>
  <c r="Y125" i="8"/>
  <c r="Z125" i="8" s="1"/>
  <c r="Y89" i="8"/>
  <c r="Y66" i="8"/>
  <c r="Z66" i="8" s="1"/>
  <c r="Y46" i="8"/>
  <c r="Z46" i="8" s="1"/>
  <c r="AA161" i="8"/>
  <c r="AA142" i="8"/>
  <c r="AA113" i="8"/>
  <c r="AA53" i="8"/>
  <c r="Y95" i="8"/>
  <c r="Y74" i="8"/>
  <c r="Z74" i="8" s="1"/>
  <c r="AA74" i="8"/>
  <c r="Y67" i="8"/>
  <c r="Z67" i="8" s="1"/>
  <c r="AA67" i="8"/>
  <c r="Y59" i="8"/>
  <c r="Z59" i="8" s="1"/>
  <c r="AA59" i="8"/>
  <c r="Y51" i="8"/>
  <c r="Z51" i="8" s="1"/>
  <c r="AA51" i="8"/>
  <c r="Y43" i="8"/>
  <c r="Z43" i="8" s="1"/>
  <c r="AA43" i="8"/>
  <c r="Y32" i="8"/>
  <c r="Z32" i="8" s="1"/>
  <c r="AA32" i="8"/>
  <c r="Y21" i="8"/>
  <c r="Z21" i="8" s="1"/>
  <c r="AA21" i="8"/>
  <c r="Y14" i="8"/>
  <c r="Z14" i="8" s="1"/>
  <c r="AA14" i="8"/>
  <c r="Y3" i="8"/>
  <c r="Z3" i="8" s="1"/>
  <c r="AA3" i="8"/>
  <c r="AA175" i="8"/>
  <c r="AA140" i="8"/>
  <c r="AA111" i="8"/>
  <c r="AA73" i="8"/>
  <c r="AA52" i="8"/>
  <c r="Y165" i="8"/>
  <c r="Y155" i="8"/>
  <c r="Z155" i="8" s="1"/>
  <c r="Y107" i="8"/>
  <c r="Y58" i="8"/>
  <c r="Z58" i="8" s="1"/>
  <c r="Y37" i="8"/>
  <c r="AA5" i="8"/>
  <c r="AA141" i="8"/>
  <c r="Y2" i="8"/>
  <c r="Z2" i="8" s="1"/>
  <c r="AA110" i="8"/>
  <c r="AA49" i="8"/>
  <c r="Y154" i="8"/>
  <c r="Z154" i="8" s="1"/>
  <c r="Y78" i="8"/>
  <c r="Z78" i="8" s="1"/>
  <c r="Y31" i="8"/>
  <c r="Z31" i="8" s="1"/>
  <c r="Y8" i="8"/>
  <c r="AA129" i="8"/>
  <c r="AA112" i="8"/>
  <c r="AA75" i="8"/>
  <c r="AA4" i="8"/>
  <c r="AA169" i="8"/>
  <c r="AA120" i="8"/>
  <c r="AA101" i="8"/>
  <c r="AA68" i="8"/>
  <c r="AA45" i="8"/>
  <c r="Y54" i="8"/>
  <c r="Z54" i="8" s="1"/>
  <c r="AA103" i="8"/>
  <c r="AA92" i="8"/>
  <c r="Y92" i="8"/>
  <c r="Z92" i="8" s="1"/>
  <c r="Y88" i="8"/>
  <c r="Y80" i="8"/>
  <c r="AA72" i="8"/>
  <c r="Y72" i="8"/>
  <c r="Z72" i="8" s="1"/>
  <c r="AA64" i="8"/>
  <c r="Y64" i="8"/>
  <c r="Z64" i="8" s="1"/>
  <c r="AA56" i="8"/>
  <c r="Y56" i="8"/>
  <c r="Z56" i="8" s="1"/>
  <c r="Y39" i="8"/>
  <c r="Y28" i="8"/>
  <c r="Y10" i="8"/>
  <c r="AA168" i="8"/>
  <c r="AA164" i="8"/>
  <c r="AA149" i="8"/>
  <c r="AA119" i="8"/>
  <c r="AA85" i="8"/>
  <c r="AA44" i="8"/>
  <c r="Y50" i="8"/>
  <c r="Z50" i="8" s="1"/>
  <c r="Y26" i="8"/>
  <c r="AA91" i="8"/>
  <c r="Y91" i="8"/>
  <c r="Z91" i="8" s="1"/>
  <c r="AA87" i="8"/>
  <c r="Y87" i="8"/>
  <c r="Z87" i="8" s="1"/>
  <c r="Y79" i="8"/>
  <c r="AA71" i="8"/>
  <c r="Y71" i="8"/>
  <c r="Z71" i="8" s="1"/>
  <c r="AA63" i="8"/>
  <c r="Y63" i="8"/>
  <c r="Z63" i="8" s="1"/>
  <c r="AA47" i="8"/>
  <c r="Y47" i="8"/>
  <c r="Z47" i="8" s="1"/>
  <c r="Y38" i="8"/>
  <c r="Y27" i="8"/>
  <c r="Y9" i="8"/>
  <c r="AA163" i="8"/>
  <c r="AA148" i="8"/>
  <c r="AA118" i="8"/>
  <c r="AA115" i="8"/>
  <c r="AA99" i="8"/>
  <c r="AA84" i="8"/>
  <c r="AA61" i="8"/>
  <c r="AA15" i="8"/>
  <c r="Y70" i="8"/>
  <c r="Z70" i="8" s="1"/>
  <c r="Y20" i="8"/>
  <c r="Z20" i="8" s="1"/>
  <c r="Y7" i="8"/>
  <c r="N23" i="2"/>
  <c r="S23" i="2" s="1"/>
  <c r="Q22" i="2"/>
  <c r="R50" i="2"/>
  <c r="K23" i="2"/>
  <c r="P23" i="2" s="1"/>
  <c r="K51" i="2"/>
  <c r="P51" i="2" s="1"/>
  <c r="L73" i="2"/>
  <c r="Q73" i="2" s="1"/>
  <c r="M62" i="2"/>
  <c r="R62" i="2" s="1"/>
  <c r="L51" i="2"/>
  <c r="Q51" i="2" s="1"/>
  <c r="T51" i="2" s="1"/>
  <c r="M73" i="2"/>
  <c r="R73" i="2" s="1"/>
  <c r="O22" i="2"/>
  <c r="T22" i="2" s="1"/>
  <c r="T44" i="2"/>
  <c r="T21" i="2"/>
  <c r="T25" i="2"/>
  <c r="T37" i="2"/>
  <c r="T71" i="2"/>
  <c r="T60" i="2"/>
  <c r="T49" i="2"/>
  <c r="T31" i="2"/>
  <c r="T9" i="2"/>
  <c r="T77" i="2"/>
  <c r="T53" i="2"/>
  <c r="T66" i="2"/>
  <c r="T50" i="2"/>
  <c r="T12" i="2"/>
  <c r="T72" i="2"/>
  <c r="T61" i="2"/>
  <c r="T32" i="2"/>
  <c r="T27" i="2"/>
  <c r="T4" i="2"/>
  <c r="T35" i="2"/>
  <c r="T47" i="2"/>
  <c r="T6" i="2"/>
  <c r="T67" i="2"/>
  <c r="T2" i="2"/>
  <c r="T11" i="2"/>
  <c r="T65" i="2"/>
  <c r="T7" i="2"/>
  <c r="T39" i="2"/>
  <c r="T3" i="2"/>
  <c r="T74" i="2"/>
  <c r="T17" i="2"/>
  <c r="T75" i="2"/>
  <c r="T63" i="2"/>
  <c r="T73" i="2"/>
  <c r="T5" i="2"/>
  <c r="T10" i="2"/>
  <c r="T38" i="2"/>
  <c r="T56" i="2"/>
  <c r="T62" i="2"/>
  <c r="T28" i="2"/>
  <c r="T15" i="2"/>
  <c r="T20" i="2"/>
  <c r="T41" i="2"/>
  <c r="T23" i="2"/>
  <c r="T58" i="2"/>
  <c r="T68" i="2"/>
  <c r="T30" i="2"/>
  <c r="T34" i="2"/>
  <c r="T46" i="2"/>
  <c r="T57" i="2"/>
  <c r="T19" i="2"/>
  <c r="T76" i="2"/>
  <c r="T40" i="2"/>
  <c r="T54" i="2"/>
  <c r="T24" i="2"/>
  <c r="T33" i="2"/>
  <c r="T29" i="2"/>
  <c r="T42" i="2"/>
  <c r="T55" i="2"/>
  <c r="T64" i="2"/>
  <c r="T8" i="2"/>
  <c r="T43" i="2"/>
  <c r="T48" i="2"/>
  <c r="T70" i="2"/>
  <c r="T18" i="2"/>
  <c r="T59" i="2"/>
  <c r="T52" i="2"/>
  <c r="T13" i="2"/>
  <c r="T45" i="2"/>
  <c r="T69" i="2"/>
  <c r="T14" i="2"/>
  <c r="T36" i="2"/>
  <c r="T16" i="2"/>
  <c r="T80" i="2"/>
  <c r="T78" i="2"/>
  <c r="T26" i="2"/>
  <c r="Z106" i="8" l="1"/>
  <c r="Z105" i="8"/>
  <c r="AA106" i="8"/>
  <c r="AA105" i="8"/>
  <c r="AA107" i="8"/>
  <c r="Z107" i="8"/>
  <c r="Z108" i="8"/>
  <c r="Z127" i="8"/>
  <c r="Z126" i="8"/>
  <c r="AA126" i="8"/>
  <c r="Z15" i="8"/>
  <c r="AB89" i="8"/>
  <c r="AA89" i="8" s="1"/>
  <c r="AA88" i="8"/>
  <c r="Z89" i="8"/>
  <c r="Z88" i="8"/>
  <c r="Z93" i="8"/>
  <c r="Z94" i="8"/>
  <c r="AA93" i="8"/>
  <c r="AA16" i="8"/>
  <c r="Z16" i="8"/>
  <c r="Z80" i="8"/>
  <c r="AA79" i="8"/>
  <c r="AA80" i="8"/>
  <c r="Z79" i="8"/>
  <c r="Z81" i="8"/>
  <c r="Z82" i="8"/>
  <c r="AB22" i="8" l="1"/>
  <c r="AB23" i="8" l="1"/>
  <c r="AA22" i="8"/>
  <c r="Z22" i="8"/>
  <c r="AB176" i="8"/>
  <c r="AB24" i="8" l="1"/>
  <c r="AA23" i="8"/>
  <c r="Z23" i="8"/>
  <c r="AB177" i="8"/>
  <c r="AB131" i="8" s="1"/>
  <c r="AA176" i="8"/>
  <c r="Z176" i="8"/>
  <c r="AB170" i="8"/>
  <c r="AB132" i="8" l="1"/>
  <c r="AB133" i="8" s="1"/>
  <c r="AA131" i="8"/>
  <c r="Z131" i="8"/>
  <c r="AB178" i="8"/>
  <c r="AA177" i="8"/>
  <c r="Z177" i="8"/>
  <c r="AB171" i="8"/>
  <c r="Z170" i="8"/>
  <c r="AA170" i="8"/>
  <c r="AB25" i="8"/>
  <c r="AB6" i="8" s="1"/>
  <c r="Z24" i="8"/>
  <c r="AA24" i="8"/>
  <c r="AB134" i="8" l="1"/>
  <c r="AB144" i="8" s="1"/>
  <c r="Z133" i="8"/>
  <c r="AA133" i="8"/>
  <c r="AB7" i="8"/>
  <c r="AA6" i="8"/>
  <c r="Z6" i="8"/>
  <c r="AA132" i="8"/>
  <c r="Z132" i="8"/>
  <c r="AB172" i="8"/>
  <c r="Z171" i="8"/>
  <c r="AA171" i="8"/>
  <c r="AB121" i="8"/>
  <c r="AA25" i="8"/>
  <c r="Z25" i="8"/>
  <c r="AB145" i="8"/>
  <c r="AB179" i="8" s="1"/>
  <c r="AA144" i="8"/>
  <c r="Z144" i="8"/>
  <c r="AA178" i="8"/>
  <c r="Z178" i="8"/>
  <c r="Z134" i="8" l="1"/>
  <c r="AA134" i="8"/>
  <c r="AB151" i="8"/>
  <c r="Z7" i="8"/>
  <c r="AA7" i="8"/>
  <c r="AB180" i="8"/>
  <c r="AA179" i="8"/>
  <c r="Z179" i="8"/>
  <c r="AB122" i="8"/>
  <c r="AA121" i="8"/>
  <c r="Z121" i="8"/>
  <c r="AA145" i="8"/>
  <c r="Z145" i="8"/>
  <c r="AB173" i="8"/>
  <c r="Z172" i="8"/>
  <c r="AA172" i="8"/>
  <c r="Z151" i="8" l="1"/>
  <c r="AB152" i="8"/>
  <c r="AA151" i="8"/>
  <c r="Z122" i="8"/>
  <c r="AA122" i="8"/>
  <c r="AA173" i="8"/>
  <c r="Z173" i="8"/>
  <c r="Z180" i="8"/>
  <c r="AA180" i="8"/>
  <c r="AA152" i="8" l="1"/>
  <c r="Z152" i="8"/>
  <c r="AB165" i="8" l="1"/>
  <c r="AB166" i="8" l="1"/>
  <c r="AB26" i="8" s="1"/>
  <c r="AA165" i="8"/>
  <c r="Z165" i="8"/>
  <c r="AB27" i="8" l="1"/>
  <c r="AA26" i="8"/>
  <c r="Z26" i="8"/>
  <c r="AA166" i="8"/>
  <c r="Z166" i="8"/>
  <c r="AA27" i="8" l="1"/>
  <c r="AB28" i="8"/>
  <c r="Z27" i="8"/>
  <c r="AB29" i="8" l="1"/>
  <c r="AA28" i="8"/>
  <c r="Z28" i="8"/>
  <c r="AB95" i="8" l="1"/>
  <c r="AA29" i="8"/>
  <c r="Z29" i="8"/>
  <c r="Z95" i="8" l="1"/>
  <c r="AA95" i="8"/>
  <c r="AB96" i="8"/>
  <c r="AA96" i="8" l="1"/>
  <c r="Z96" i="8"/>
  <c r="AB8" i="8" l="1"/>
  <c r="AB9" i="8" l="1"/>
  <c r="AA8" i="8"/>
  <c r="Z8" i="8"/>
  <c r="AA9" i="8" l="1"/>
  <c r="AB10" i="8"/>
  <c r="Z9" i="8"/>
  <c r="AB11" i="8" l="1"/>
  <c r="AA10" i="8"/>
  <c r="Z10" i="8"/>
  <c r="AA11" i="8" l="1"/>
  <c r="Z11" i="8"/>
  <c r="AB156" i="8" l="1"/>
  <c r="Z156" i="8" s="1"/>
  <c r="AB157" i="8"/>
  <c r="AB158" i="8" s="1"/>
  <c r="AB17" i="8" l="1"/>
  <c r="AB18" i="8" s="1"/>
  <c r="AA18" i="8" s="1"/>
  <c r="AA157" i="8"/>
  <c r="Z18" i="8"/>
  <c r="AA17" i="8"/>
  <c r="Z17" i="8"/>
  <c r="AA156" i="8"/>
  <c r="Z158" i="8"/>
  <c r="AA158" i="8"/>
  <c r="AB159" i="8"/>
  <c r="Z157" i="8"/>
  <c r="AA159" i="8" l="1"/>
  <c r="Z159" i="8"/>
  <c r="AB33" i="8"/>
  <c r="Z33" i="8" s="1"/>
  <c r="AB34" i="8"/>
  <c r="Z34" i="8" s="1"/>
  <c r="AB35" i="8"/>
  <c r="AA35" i="8" s="1"/>
  <c r="AB36" i="8"/>
  <c r="AB37" i="8" s="1"/>
  <c r="Z35" i="8"/>
  <c r="AA34" i="8"/>
  <c r="AB135" i="8"/>
  <c r="AA135" i="8" s="1"/>
  <c r="AA37" i="8" l="1"/>
  <c r="AB38" i="8"/>
  <c r="Z37" i="8"/>
  <c r="AA36" i="8"/>
  <c r="AA33" i="8"/>
  <c r="AB136" i="8"/>
  <c r="Z135" i="8"/>
  <c r="Z36" i="8"/>
  <c r="AB137" i="8" l="1"/>
  <c r="Z136" i="8"/>
  <c r="AA136" i="8"/>
  <c r="AB39" i="8"/>
  <c r="Z38" i="8"/>
  <c r="AA38" i="8"/>
  <c r="Z39" i="8" l="1"/>
  <c r="AA39" i="8"/>
  <c r="AB40" i="8"/>
  <c r="Z137" i="8"/>
  <c r="AA137" i="8"/>
  <c r="AB138" i="8"/>
  <c r="AA138" i="8" l="1"/>
  <c r="Z138" i="8"/>
  <c r="Z40" i="8"/>
  <c r="AA40" i="8"/>
</calcChain>
</file>

<file path=xl/sharedStrings.xml><?xml version="1.0" encoding="utf-8"?>
<sst xmlns="http://schemas.openxmlformats.org/spreadsheetml/2006/main" count="3349" uniqueCount="450">
  <si>
    <t>Nr.crt</t>
  </si>
  <si>
    <t>Nr. înmatriculare</t>
  </si>
  <si>
    <t>Marcă / Model</t>
  </si>
  <si>
    <t>An fabricație</t>
  </si>
  <si>
    <t>VIN</t>
  </si>
  <si>
    <t>Nr. motor</t>
  </si>
  <si>
    <t>Km actuali</t>
  </si>
  <si>
    <t>Sector</t>
  </si>
  <si>
    <t>Șofer curent</t>
  </si>
  <si>
    <t>Utilaje auxiliare</t>
  </si>
  <si>
    <t>Stare tehnică</t>
  </si>
  <si>
    <t>Observații</t>
  </si>
  <si>
    <t>CMC-001</t>
  </si>
  <si>
    <t>Nume Prenume</t>
  </si>
  <si>
    <t>Nr. de pontaj</t>
  </si>
  <si>
    <t>Telefon</t>
  </si>
  <si>
    <t>EIP complet?</t>
  </si>
  <si>
    <t>Vehicul (Nr. înmatriculare)</t>
  </si>
  <si>
    <t>Data intervenției</t>
  </si>
  <si>
    <t>Tip intervenție</t>
  </si>
  <si>
    <t>Detalii operație</t>
  </si>
  <si>
    <t>Km la intervenție</t>
  </si>
  <si>
    <t>Cost piese (lei)</t>
  </si>
  <si>
    <t>Cost manoperă (lei)</t>
  </si>
  <si>
    <t>Total cost</t>
  </si>
  <si>
    <t>Atelier / Mecanic</t>
  </si>
  <si>
    <t>Schimb ulei</t>
  </si>
  <si>
    <t>Filtru ulei + ulei 5W40</t>
  </si>
  <si>
    <t>Sector auto intern</t>
  </si>
  <si>
    <t>PAȘAPORT TEHNIC - selectați nr. înmatriculare în celula B2 pentru a afișa datele</t>
  </si>
  <si>
    <t>Nr. înmatriculare:</t>
  </si>
  <si>
    <t>Marcă/Model</t>
  </si>
  <si>
    <t>Istoric deservire (filtrat din foaia 'Revizii și intervenții')</t>
  </si>
  <si>
    <t>Data</t>
  </si>
  <si>
    <t>Tip lucrare</t>
  </si>
  <si>
    <t>Detalii</t>
  </si>
  <si>
    <t>Km</t>
  </si>
  <si>
    <t>Cost total</t>
  </si>
  <si>
    <t>Mecanic</t>
  </si>
  <si>
    <t>Parametru</t>
  </si>
  <si>
    <t>Valoare</t>
  </si>
  <si>
    <t>Schimb ulei interval (km)</t>
  </si>
  <si>
    <t>Schimb ulei interval (zile)</t>
  </si>
  <si>
    <t>Schimb filtru aer (km)</t>
  </si>
  <si>
    <t>Schimb filtru comb (km)</t>
  </si>
  <si>
    <t>Schimb bujii (km)</t>
  </si>
  <si>
    <t>Schimb lichid frana (luni)</t>
  </si>
  <si>
    <t>Schimb lichid racire (luni)</t>
  </si>
  <si>
    <t>Schimb curea distributie min (km)</t>
  </si>
  <si>
    <t>Schimb curea distributie max (km)</t>
  </si>
  <si>
    <t>Prag km alertă (km)</t>
  </si>
  <si>
    <t>Prag zile alertă (zile)</t>
  </si>
  <si>
    <t>EIP item</t>
  </si>
  <si>
    <t>Durata luni</t>
  </si>
  <si>
    <t>Vestă avertizare</t>
  </si>
  <si>
    <t>Indicator</t>
  </si>
  <si>
    <t>Valoare / Observații</t>
  </si>
  <si>
    <t>Număr total vehicule</t>
  </si>
  <si>
    <t>Număr total șoferi</t>
  </si>
  <si>
    <t>Total costuri revizii (an curent)</t>
  </si>
  <si>
    <t>INSTRUCȚIUNI MACRO</t>
  </si>
  <si>
    <t xml:space="preserve">Macro-ul pentru generarea Pașaportului tehnic în PDF este inclus aici ca text. Pentru a folosi macro-ul:
1) Deschide Excel, apasă ALT+F11 pentru a deschide editorul VBA.
2) Insert -&gt; Module și lipește codul din coloana A într-un modul nou.
3) Salvează fișierul ca .xlsm (Excel Macro-Enabled Workbook).
4) Revină în Excel și execută macro-ul.
</t>
  </si>
  <si>
    <t xml:space="preserve">
Sub GenereazaPasaportPDF()
    Dim nr As String
    nr = ThisWorkbook.Sheets("Pașaport tehnic").Range("B2").Value
    If nr = "" Then
        MsgBox "Introduceți numărul de înmatriculare în Pașaport tehnic!B2", vbExclamation
        Exit Sub
    End If
    Dim shVeh As Worksheet: Set shVeh = ThisWorkbook.Sheets("Vehicule")
    Dim shPas As Worksheet: Set shPas = ThisWorkbook.Sheets("Pașaport tehnic")
    Dim found As Range
    Set found = shVeh.Range("B:B").Find(What:=nr, LookAt:=xlWhole)
    If Not found Is Nothing Then
        shPas.Range("B4").Value = shVeh.Cells(found.Row, 3).Value
        shPas.Range("B5").Value = shVeh.Cells(found.Row, 4).Value
        shPas.Range("B6").Value = shVeh.Cells(found.Row, 5).Value
        shPas.Range("B7").Value = shVeh.Cells(found.Row, 6).Value
        shPas.Range("B8").Value = shVeh.Cells(found.Row, 13).Value
        shPas.Range("B9").Value = shVeh.Cells(found.Row, 14).Value
        shPas.Range("B10").Value = shVeh.Cells(found.Row, 15).Value
        shPas.Range("B11").Value = shVeh.Cells(found.Row, 7).Value
        shPas.Range("B12").Value = shVeh.Cells(found.Row, 17).Value
    Else
        MsgBox "Vehiculul nu a fost găsit în tabelul Vehicule.", vbExclamation
        Exit Sub
    End If
    Dim pdfPath As String
    pdfPath = ThisWorkbook.Path &amp; "\" &amp; "Pasaport_" &amp; nr &amp; ".pdf"
    shPas.ExportAsFixedFormat Type:=xlTypePDF, Filename:=pdfPath, Quality:=xlQualityStandard
    MsgBox "Pașaport generat: " &amp; pdfPath, vbInformation
End Sub
</t>
  </si>
  <si>
    <t>Funcție</t>
  </si>
  <si>
    <t>Mărime haină</t>
  </si>
  <si>
    <t>Mărime încalțăminte</t>
  </si>
  <si>
    <t>Scurtă</t>
  </si>
  <si>
    <t>Încălțăminte</t>
  </si>
  <si>
    <t>Costum</t>
  </si>
  <si>
    <t>Pantaloni</t>
  </si>
  <si>
    <t>Urm. Scurtă</t>
  </si>
  <si>
    <t>Urm. Încălțăminte</t>
  </si>
  <si>
    <t>Urm. Costum</t>
  </si>
  <si>
    <t>Urm. Pantaloni</t>
  </si>
  <si>
    <t>Urm. Vestă avertizare</t>
  </si>
  <si>
    <t>Verbițchii Mihail</t>
  </si>
  <si>
    <t>Cauș Timofei</t>
  </si>
  <si>
    <t>Cheptene Serghei</t>
  </si>
  <si>
    <t>Olari Gheorghii</t>
  </si>
  <si>
    <t>Roșca Mihail</t>
  </si>
  <si>
    <t>Seu Mihail</t>
  </si>
  <si>
    <t>Furnica Ion</t>
  </si>
  <si>
    <t>Cernei Anatolii</t>
  </si>
  <si>
    <t>Triboi Vasilii</t>
  </si>
  <si>
    <t>Melnic Valentin</t>
  </si>
  <si>
    <t>Alexei Constantin</t>
  </si>
  <si>
    <t>Anton Marcel</t>
  </si>
  <si>
    <t>Celpan Ion</t>
  </si>
  <si>
    <t>Zamșa Eugeniu</t>
  </si>
  <si>
    <t>Sabanciuc Mihail</t>
  </si>
  <si>
    <t>Timotin Grigorii</t>
  </si>
  <si>
    <t>Cotai Liviu</t>
  </si>
  <si>
    <t>Ababii Igor</t>
  </si>
  <si>
    <t>Popa Constantin</t>
  </si>
  <si>
    <t>Milicenco Vasilie</t>
  </si>
  <si>
    <t>Pascaru Vasile</t>
  </si>
  <si>
    <t>Rotari Oleg</t>
  </si>
  <si>
    <t>Boicu Iurie</t>
  </si>
  <si>
    <t>Caimacan Ruslan</t>
  </si>
  <si>
    <t>Caradja Iurii</t>
  </si>
  <si>
    <t>Prodan Ion</t>
  </si>
  <si>
    <t>Mocanu Petru</t>
  </si>
  <si>
    <t>Timotin Andrei</t>
  </si>
  <si>
    <t>Toma Gheorghe</t>
  </si>
  <si>
    <t>Apavaloae Artur</t>
  </si>
  <si>
    <t>Toma Nicolai</t>
  </si>
  <si>
    <t>Soltan Victor</t>
  </si>
  <si>
    <t>Prisăcari Valeriu</t>
  </si>
  <si>
    <t>Castraveț Constantin</t>
  </si>
  <si>
    <t>Mardari Ion</t>
  </si>
  <si>
    <t>Goreanu Anatolie</t>
  </si>
  <si>
    <t>Prodan Nicolae</t>
  </si>
  <si>
    <t>Apavaloae Gheorghe</t>
  </si>
  <si>
    <t>David Ivan</t>
  </si>
  <si>
    <t>Aftimiciuc Piotr</t>
  </si>
  <si>
    <t>Iacub  Alexandru</t>
  </si>
  <si>
    <t>Sclifos Zaharia</t>
  </si>
  <si>
    <t>Vieru Mihail</t>
  </si>
  <si>
    <t>Zatic Vitalie</t>
  </si>
  <si>
    <t>Mîndru Tudor</t>
  </si>
  <si>
    <t>Grama Fiodor</t>
  </si>
  <si>
    <t>Zatic Valeriu</t>
  </si>
  <si>
    <t>Cebotari Constantin</t>
  </si>
  <si>
    <t>Movila Veceslav</t>
  </si>
  <si>
    <t>Ghimpu Dan</t>
  </si>
  <si>
    <t>mașinist la excavatoare</t>
  </si>
  <si>
    <t>Șef sector</t>
  </si>
  <si>
    <t xml:space="preserve">mașinist la excavatoare </t>
  </si>
  <si>
    <t>mașinist la automacara</t>
  </si>
  <si>
    <t>tractorist</t>
  </si>
  <si>
    <t>mașinist la buldozer</t>
  </si>
  <si>
    <t>lăcătuș</t>
  </si>
  <si>
    <t xml:space="preserve">tractorist </t>
  </si>
  <si>
    <t>mașinist la instalația cu braț taietor</t>
  </si>
  <si>
    <t xml:space="preserve">lăcătuș </t>
  </si>
  <si>
    <t>maistru reparare</t>
  </si>
  <si>
    <t>strungar</t>
  </si>
  <si>
    <t>Inginer</t>
  </si>
  <si>
    <t>52-55</t>
  </si>
  <si>
    <t>52-53</t>
  </si>
  <si>
    <t>54-55</t>
  </si>
  <si>
    <t>50-52</t>
  </si>
  <si>
    <t>60-62</t>
  </si>
  <si>
    <t>52-54</t>
  </si>
  <si>
    <t>48-50</t>
  </si>
  <si>
    <t>56-58</t>
  </si>
  <si>
    <t>58-60</t>
  </si>
  <si>
    <t>54-56</t>
  </si>
  <si>
    <t>50-53</t>
  </si>
  <si>
    <t>53-54</t>
  </si>
  <si>
    <t>53-58</t>
  </si>
  <si>
    <t>53-56</t>
  </si>
  <si>
    <t>01.10.2025</t>
  </si>
  <si>
    <t>44-46</t>
  </si>
  <si>
    <t>01.04.2025</t>
  </si>
  <si>
    <t>Destinatia</t>
  </si>
  <si>
    <t>Lucrari necesate efectuat luna viitoare</t>
  </si>
  <si>
    <t>Autocamion</t>
  </si>
  <si>
    <t>Gaz 66</t>
  </si>
  <si>
    <t>CBE 443</t>
  </si>
  <si>
    <t>Iveco Eurocargo</t>
  </si>
  <si>
    <t>SYR 769</t>
  </si>
  <si>
    <t>Manipulator</t>
  </si>
  <si>
    <t>Basculantă</t>
  </si>
  <si>
    <t>Gaz SAZ 3507</t>
  </si>
  <si>
    <t>CBI 096</t>
  </si>
  <si>
    <t>CBE 267</t>
  </si>
  <si>
    <t>CBE 269</t>
  </si>
  <si>
    <t>ZIL 4502</t>
  </si>
  <si>
    <t>CBE 294</t>
  </si>
  <si>
    <t>CBE 284</t>
  </si>
  <si>
    <t>Kamaz 5410</t>
  </si>
  <si>
    <t>CAU 393</t>
  </si>
  <si>
    <t>CBI 566</t>
  </si>
  <si>
    <t>Uaz 33039</t>
  </si>
  <si>
    <t>CIA 483</t>
  </si>
  <si>
    <t>Automacara</t>
  </si>
  <si>
    <t>MAZ 5337</t>
  </si>
  <si>
    <t>CFK 906</t>
  </si>
  <si>
    <t>CGC 023</t>
  </si>
  <si>
    <t>Autoturn</t>
  </si>
  <si>
    <t>Gaz 5307</t>
  </si>
  <si>
    <t>CBE 641</t>
  </si>
  <si>
    <t>Excavatoare</t>
  </si>
  <si>
    <t>JCB 3CX</t>
  </si>
  <si>
    <t>TAE 470</t>
  </si>
  <si>
    <t>TAE 471</t>
  </si>
  <si>
    <t>TAE 472</t>
  </si>
  <si>
    <t>TAE 473</t>
  </si>
  <si>
    <t>TAE 474</t>
  </si>
  <si>
    <t>TAE 586</t>
  </si>
  <si>
    <t>TAE 587</t>
  </si>
  <si>
    <t>JCB 8030 ZTS</t>
  </si>
  <si>
    <t>TAE 464</t>
  </si>
  <si>
    <t>TAE 465</t>
  </si>
  <si>
    <t>TAE 466</t>
  </si>
  <si>
    <t>TAE 467</t>
  </si>
  <si>
    <t>TAE 468</t>
  </si>
  <si>
    <t>TAE 469</t>
  </si>
  <si>
    <t>ĂO-2621</t>
  </si>
  <si>
    <t>CA 437</t>
  </si>
  <si>
    <t>CA 076</t>
  </si>
  <si>
    <t>Borax 2203</t>
  </si>
  <si>
    <t>CD 946</t>
  </si>
  <si>
    <t>T-150K</t>
  </si>
  <si>
    <t>CA 441</t>
  </si>
  <si>
    <t>XTZ 150</t>
  </si>
  <si>
    <t>CA 530</t>
  </si>
  <si>
    <t>Foton 545</t>
  </si>
  <si>
    <t>CH 340</t>
  </si>
  <si>
    <t>CA 317</t>
  </si>
  <si>
    <t>Bara</t>
  </si>
  <si>
    <t>MTZ-82</t>
  </si>
  <si>
    <t>CA 531</t>
  </si>
  <si>
    <t>CA 786</t>
  </si>
  <si>
    <t>CA 468</t>
  </si>
  <si>
    <t>Pompă</t>
  </si>
  <si>
    <t>Încărcător</t>
  </si>
  <si>
    <t>T 156 B</t>
  </si>
  <si>
    <t>CD 866</t>
  </si>
  <si>
    <t>DZ 133</t>
  </si>
  <si>
    <t>CC 545</t>
  </si>
  <si>
    <t>Volvo 20F</t>
  </si>
  <si>
    <t>TAY 066</t>
  </si>
  <si>
    <t>Case 440</t>
  </si>
  <si>
    <t>f/n</t>
  </si>
  <si>
    <t>DZ 42</t>
  </si>
  <si>
    <t>CC 325</t>
  </si>
  <si>
    <t>IVECO DAILY</t>
  </si>
  <si>
    <t>SYR 741</t>
  </si>
  <si>
    <t>SYR 744</t>
  </si>
  <si>
    <t>SYR 759</t>
  </si>
  <si>
    <t>SYR 747</t>
  </si>
  <si>
    <t>SYR 767</t>
  </si>
  <si>
    <t>SYR 780</t>
  </si>
  <si>
    <t>Kamaz 55111</t>
  </si>
  <si>
    <t>CBE 276</t>
  </si>
  <si>
    <t>CCR 871</t>
  </si>
  <si>
    <t>Kamaz 65115</t>
  </si>
  <si>
    <t>CHN 349</t>
  </si>
  <si>
    <t>CBE 638</t>
  </si>
  <si>
    <t>Matei Fiodor</t>
  </si>
  <si>
    <t xml:space="preserve">conducator auto </t>
  </si>
  <si>
    <t>conducator auto</t>
  </si>
  <si>
    <t>electrogazosudor</t>
  </si>
  <si>
    <t>Virtecus Dumitru</t>
  </si>
  <si>
    <t>NU E NEVOE</t>
  </si>
  <si>
    <t>Nr. Garaj</t>
  </si>
  <si>
    <t>Energetic</t>
  </si>
  <si>
    <t>SBO</t>
  </si>
  <si>
    <t>Tractor</t>
  </si>
  <si>
    <t>12,5-18 R 4</t>
  </si>
  <si>
    <t>18,4-26 TD-19</t>
  </si>
  <si>
    <t>Duldozer</t>
  </si>
  <si>
    <t>Repartizare</t>
  </si>
  <si>
    <t>Branșamente</t>
  </si>
  <si>
    <t>Râșcani (1)</t>
  </si>
  <si>
    <t>Centru (2)</t>
  </si>
  <si>
    <t>Buiucani (3)</t>
  </si>
  <si>
    <t>Botanica (4)</t>
  </si>
  <si>
    <t>Ciocana (5)</t>
  </si>
  <si>
    <t>Vadul lui Vodă</t>
  </si>
  <si>
    <t>Zatic Vleriu</t>
  </si>
  <si>
    <t>Furgon</t>
  </si>
  <si>
    <t>???</t>
  </si>
  <si>
    <t>Melnic Valentin / Maistrovoi Alexandru</t>
  </si>
  <si>
    <t>Olari Gheorghii / Sabanciuc Mihail</t>
  </si>
  <si>
    <t>Cheptene Segei / Vieru Mihail</t>
  </si>
  <si>
    <t>Ababii Igor / Anton Marcel</t>
  </si>
  <si>
    <t>Rotari Oleg / Triboi Vasilii</t>
  </si>
  <si>
    <t>GAZ-5327</t>
  </si>
  <si>
    <t>CBE 648</t>
  </si>
  <si>
    <t>Iacub Alexandru</t>
  </si>
  <si>
    <t>Zamșa Eugen</t>
  </si>
  <si>
    <t>Remorcă</t>
  </si>
  <si>
    <t>Kontex KTZ</t>
  </si>
  <si>
    <t>M 377 RZ</t>
  </si>
  <si>
    <t>Toma Nicolae / Movilă Vieceslav</t>
  </si>
  <si>
    <t>M 370 RZ</t>
  </si>
  <si>
    <t>M 040 RZ</t>
  </si>
  <si>
    <t>Jechiu Anatol</t>
  </si>
  <si>
    <t>M 381 RZ</t>
  </si>
  <si>
    <t>M 365 RZ</t>
  </si>
  <si>
    <t>M 373 RZ</t>
  </si>
  <si>
    <t>Ionel Victor / Apavaloae Gheorghii</t>
  </si>
  <si>
    <t>David Ion</t>
  </si>
  <si>
    <t>Toma Gheorghii</t>
  </si>
  <si>
    <t>Goreanu Anatol</t>
  </si>
  <si>
    <t>Cazac Iurie</t>
  </si>
  <si>
    <t>Manole Serghei</t>
  </si>
  <si>
    <t>Apavaloae Artur / Manole Seghei / Matei Fiodor / Mocanu Petru</t>
  </si>
  <si>
    <t>Soltan Victor / Zatic Vitalie</t>
  </si>
  <si>
    <t>Belorus 1221.3</t>
  </si>
  <si>
    <t>TBN 329</t>
  </si>
  <si>
    <t>Manole Serghei / Matei Timofei</t>
  </si>
  <si>
    <t>Popa Constatin</t>
  </si>
  <si>
    <t>Muntean Niconor</t>
  </si>
  <si>
    <t>Muntean Niconor / Ceban Vitalie</t>
  </si>
  <si>
    <t>Prisacari Valeriu</t>
  </si>
  <si>
    <t>Timotin Grigorii  / Prisacari Valeriu</t>
  </si>
  <si>
    <t>Goncearenco Veaceslav</t>
  </si>
  <si>
    <t>nou</t>
  </si>
  <si>
    <t>RTL 362</t>
  </si>
  <si>
    <t>vechi</t>
  </si>
  <si>
    <t>CRT 144</t>
  </si>
  <si>
    <t>CRT 142</t>
  </si>
  <si>
    <t>Nr. Inventar</t>
  </si>
  <si>
    <t>Vehicul litere</t>
  </si>
  <si>
    <t>Vehicul cifre</t>
  </si>
  <si>
    <t>TAE</t>
  </si>
  <si>
    <t>CCR</t>
  </si>
  <si>
    <t>SYR</t>
  </si>
  <si>
    <t>CHN</t>
  </si>
  <si>
    <t>CBE</t>
  </si>
  <si>
    <t>CBI</t>
  </si>
  <si>
    <t>CC</t>
  </si>
  <si>
    <t>CAU</t>
  </si>
  <si>
    <t>CGC</t>
  </si>
  <si>
    <t>CFK</t>
  </si>
  <si>
    <t>CA</t>
  </si>
  <si>
    <t>CH</t>
  </si>
  <si>
    <t>TAY</t>
  </si>
  <si>
    <t>TAW</t>
  </si>
  <si>
    <t>CD</t>
  </si>
  <si>
    <t>XXX</t>
  </si>
  <si>
    <t>BAZA</t>
  </si>
  <si>
    <t>VADUL LUI VODA</t>
  </si>
  <si>
    <t>T-25</t>
  </si>
  <si>
    <t>CC 322</t>
  </si>
  <si>
    <t>TBN</t>
  </si>
  <si>
    <t>061094258</t>
  </si>
  <si>
    <t>069294876</t>
  </si>
  <si>
    <t>069219281</t>
  </si>
  <si>
    <t>060587028</t>
  </si>
  <si>
    <t>069524215</t>
  </si>
  <si>
    <t>079744836</t>
  </si>
  <si>
    <t>069756270</t>
  </si>
  <si>
    <t>060038651</t>
  </si>
  <si>
    <t>068437671</t>
  </si>
  <si>
    <t>069501965</t>
  </si>
  <si>
    <t>069584366</t>
  </si>
  <si>
    <t>069608568</t>
  </si>
  <si>
    <t>CIOCANA</t>
  </si>
  <si>
    <t>OFICIU</t>
  </si>
  <si>
    <t>GARAJ</t>
  </si>
  <si>
    <t>CENTRU</t>
  </si>
  <si>
    <t>068478615</t>
  </si>
  <si>
    <t>069129092</t>
  </si>
  <si>
    <t>BUIUCANI</t>
  </si>
  <si>
    <t>069848101</t>
  </si>
  <si>
    <t>Gonciarenco Vieceslav</t>
  </si>
  <si>
    <t>069567986</t>
  </si>
  <si>
    <t>Maistrovoi Alexandru</t>
  </si>
  <si>
    <t>061024885</t>
  </si>
  <si>
    <t>BOTANICA</t>
  </si>
  <si>
    <t>061018830</t>
  </si>
  <si>
    <t>069214997</t>
  </si>
  <si>
    <t>069665267</t>
  </si>
  <si>
    <t>069821128</t>
  </si>
  <si>
    <t>061108169</t>
  </si>
  <si>
    <t>Barbacari Gheorghi</t>
  </si>
  <si>
    <t>MRZ</t>
  </si>
  <si>
    <t>RTL</t>
  </si>
  <si>
    <t>CRT</t>
  </si>
  <si>
    <t>069108643</t>
  </si>
  <si>
    <t>069079310</t>
  </si>
  <si>
    <t>069682382</t>
  </si>
  <si>
    <t>068994247</t>
  </si>
  <si>
    <t>069246750</t>
  </si>
  <si>
    <t>069002076</t>
  </si>
  <si>
    <t>076028631</t>
  </si>
  <si>
    <t>069479541</t>
  </si>
  <si>
    <t>069839642</t>
  </si>
  <si>
    <t>RÂȘCANI</t>
  </si>
  <si>
    <t>068509390</t>
  </si>
  <si>
    <t>068825870</t>
  </si>
  <si>
    <t>069508924</t>
  </si>
  <si>
    <t>069175300</t>
  </si>
  <si>
    <t>060711275</t>
  </si>
  <si>
    <t>068337778</t>
  </si>
  <si>
    <t>060654797</t>
  </si>
  <si>
    <t>078950537</t>
  </si>
  <si>
    <t>079630526</t>
  </si>
  <si>
    <t>060372646</t>
  </si>
  <si>
    <t>063630477</t>
  </si>
  <si>
    <t>068550414</t>
  </si>
  <si>
    <t>069386933</t>
  </si>
  <si>
    <t>060122219</t>
  </si>
  <si>
    <t>069112876</t>
  </si>
  <si>
    <t>060130100</t>
  </si>
  <si>
    <t>078922447</t>
  </si>
  <si>
    <t>060406794</t>
  </si>
  <si>
    <t>BRANSAMENTE</t>
  </si>
  <si>
    <t>068405411</t>
  </si>
  <si>
    <t>069019876</t>
  </si>
  <si>
    <t>069281995</t>
  </si>
  <si>
    <t>069609786</t>
  </si>
  <si>
    <t>069914406</t>
  </si>
  <si>
    <t>079306654</t>
  </si>
  <si>
    <t>069974391</t>
  </si>
  <si>
    <t>999999999</t>
  </si>
  <si>
    <t>069129184</t>
  </si>
  <si>
    <t>CIA</t>
  </si>
  <si>
    <t>n</t>
  </si>
  <si>
    <t>114 TAW</t>
  </si>
  <si>
    <t>p63,</t>
  </si>
  <si>
    <t>Cebanu Vitalie</t>
  </si>
  <si>
    <t>Nr.</t>
  </si>
  <si>
    <t>model acum</t>
  </si>
  <si>
    <t>data instalarii</t>
  </si>
  <si>
    <t>data schimbat</t>
  </si>
  <si>
    <t>luni nominal</t>
  </si>
  <si>
    <t>luni ramase</t>
  </si>
  <si>
    <t>model anvelopa</t>
  </si>
  <si>
    <t>12,4-28</t>
  </si>
  <si>
    <t>8,3-20</t>
  </si>
  <si>
    <t>18,4-26</t>
  </si>
  <si>
    <t>21,3-24</t>
  </si>
  <si>
    <t>16,5/70-18</t>
  </si>
  <si>
    <t>18,4-30</t>
  </si>
  <si>
    <t>11,2-20</t>
  </si>
  <si>
    <t>9x20</t>
  </si>
  <si>
    <t>15,5x38</t>
  </si>
  <si>
    <t>11,2x20</t>
  </si>
  <si>
    <t>18,4x30</t>
  </si>
  <si>
    <t>9,5x32</t>
  </si>
  <si>
    <t>6,5x16</t>
  </si>
  <si>
    <t>12-16,5</t>
  </si>
  <si>
    <t>7,5-20</t>
  </si>
  <si>
    <t>23,1 R26</t>
  </si>
  <si>
    <t>195R 14C</t>
  </si>
  <si>
    <t>-</t>
  </si>
  <si>
    <t>Km la instalare</t>
  </si>
  <si>
    <t>norma de uzura</t>
  </si>
  <si>
    <t>kilometraj prognozat schimb</t>
  </si>
  <si>
    <t>kilometraj actual schimb</t>
  </si>
  <si>
    <t>Km ramas</t>
  </si>
  <si>
    <t>Procent uzura</t>
  </si>
  <si>
    <t>9,0 R20</t>
  </si>
  <si>
    <t>12,00 R 20</t>
  </si>
  <si>
    <t>10,0 R 20</t>
  </si>
  <si>
    <t>225/75 R16C</t>
  </si>
  <si>
    <t>240x508</t>
  </si>
  <si>
    <t>1200x18</t>
  </si>
  <si>
    <t>8,40x15</t>
  </si>
  <si>
    <t>215x90x15</t>
  </si>
  <si>
    <t>260x508</t>
  </si>
  <si>
    <t>295/80 R22,5</t>
  </si>
  <si>
    <t>8,25 R20</t>
  </si>
  <si>
    <t>mai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</si>
</sst>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[$-10819]dd\.mm\.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0" fontId="0" fillId="0" borderId="0" xfId="0" quotePrefix="1"/>
    <xf numFmtId="0" fontId="0" fillId="0" borderId="0" xfId="0" applyAlignment="1">
      <alignment vertical="center"/>
    </xf>
    <xf numFmtId="49" fontId="0" fillId="0" borderId="0" xfId="0" applyNumberFormat="1"/>
    <xf numFmtId="14" fontId="0" fillId="0" borderId="1" xfId="0" applyNumberFormat="1" applyBorder="1" applyAlignment="1">
      <alignment horizontal="right"/>
    </xf>
    <xf numFmtId="165" fontId="0" fillId="0" borderId="0" xfId="0" applyNumberFormat="1"/>
    <xf numFmtId="0" fontId="5" fillId="0" borderId="0" xfId="0" applyFont="1"/>
    <xf numFmtId="0" fontId="0" fillId="0" borderId="1" xfId="0" applyBorder="1"/>
    <xf numFmtId="165" fontId="0" fillId="0" borderId="1" xfId="0" applyNumberFormat="1" applyBorder="1"/>
    <xf numFmtId="0" fontId="5" fillId="0" borderId="0" xfId="0" applyFont="1" applyAlignment="1">
      <alignment vertical="center"/>
    </xf>
    <xf numFmtId="0" fontId="0" fillId="0" borderId="5" xfId="0" applyBorder="1"/>
    <xf numFmtId="0" fontId="0" fillId="0" borderId="6" xfId="0" applyBorder="1"/>
    <xf numFmtId="165" fontId="0" fillId="0" borderId="6" xfId="0" applyNumberFormat="1" applyBorder="1"/>
    <xf numFmtId="0" fontId="5" fillId="0" borderId="2" xfId="0" applyFont="1" applyBorder="1"/>
    <xf numFmtId="0" fontId="5" fillId="0" borderId="3" xfId="0" applyFont="1" applyBorder="1"/>
    <xf numFmtId="49" fontId="5" fillId="0" borderId="3" xfId="0" applyNumberFormat="1" applyFont="1" applyBorder="1"/>
    <xf numFmtId="0" fontId="5" fillId="0" borderId="4" xfId="0" applyFont="1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/>
    <xf numFmtId="165" fontId="3" fillId="0" borderId="1" xfId="0" applyNumberFormat="1" applyFont="1" applyBorder="1"/>
    <xf numFmtId="17" fontId="3" fillId="0" borderId="1" xfId="0" applyNumberFormat="1" applyFont="1" applyBorder="1"/>
    <xf numFmtId="0" fontId="2" fillId="0" borderId="0" xfId="0" applyFont="1"/>
    <xf numFmtId="0" fontId="3" fillId="0" borderId="10" xfId="0" applyFont="1" applyBorder="1"/>
    <xf numFmtId="165" fontId="3" fillId="0" borderId="10" xfId="0" applyNumberFormat="1" applyFont="1" applyBorder="1"/>
    <xf numFmtId="0" fontId="3" fillId="0" borderId="11" xfId="0" applyFont="1" applyBorder="1"/>
    <xf numFmtId="165" fontId="3" fillId="0" borderId="11" xfId="0" applyNumberFormat="1" applyFont="1" applyBorder="1"/>
    <xf numFmtId="17" fontId="3" fillId="0" borderId="11" xfId="0" applyNumberFormat="1" applyFont="1" applyBorder="1"/>
    <xf numFmtId="0" fontId="0" fillId="0" borderId="12" xfId="0" applyBorder="1"/>
    <xf numFmtId="0" fontId="2" fillId="0" borderId="12" xfId="0" applyFont="1" applyBorder="1"/>
    <xf numFmtId="0" fontId="2" fillId="0" borderId="0" xfId="0" applyFont="1" applyAlignment="1">
      <alignment vertical="center"/>
    </xf>
    <xf numFmtId="0" fontId="3" fillId="0" borderId="8" xfId="0" applyFont="1" applyBorder="1"/>
    <xf numFmtId="0" fontId="3" fillId="0" borderId="9" xfId="0" applyFont="1" applyBorder="1"/>
    <xf numFmtId="0" fontId="3" fillId="0" borderId="13" xfId="0" applyFont="1" applyBorder="1"/>
    <xf numFmtId="0" fontId="3" fillId="0" borderId="14" xfId="0" applyFont="1" applyBorder="1"/>
    <xf numFmtId="0" fontId="0" fillId="0" borderId="15" xfId="0" applyBorder="1"/>
    <xf numFmtId="0" fontId="2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5" xfId="0" applyFont="1" applyBorder="1"/>
    <xf numFmtId="0" fontId="3" fillId="0" borderId="6" xfId="0" applyFont="1" applyBorder="1"/>
    <xf numFmtId="165" fontId="3" fillId="0" borderId="6" xfId="0" applyNumberFormat="1" applyFont="1" applyBorder="1"/>
    <xf numFmtId="0" fontId="3" fillId="0" borderId="7" xfId="0" applyFont="1" applyBorder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6" xfId="0" applyFont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</cellXfs>
  <cellStyles count="1">
    <cellStyle name="Обычный" xfId="0" builtinId="0"/>
  </cellStyles>
  <dxfs count="10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97"/>
  <sheetViews>
    <sheetView topLeftCell="C1" zoomScale="90" workbookViewId="0">
      <selection activeCell="E1" sqref="E1"/>
    </sheetView>
  </sheetViews>
  <sheetFormatPr defaultRowHeight="14.4" x14ac:dyDescent="0.3"/>
  <cols>
    <col min="1" max="18" width="18" customWidth="1"/>
  </cols>
  <sheetData>
    <row r="1" spans="1:7" x14ac:dyDescent="0.3">
      <c r="A1" t="s">
        <v>39</v>
      </c>
      <c r="B1" t="s">
        <v>40</v>
      </c>
      <c r="C1" t="s">
        <v>52</v>
      </c>
      <c r="D1" t="s">
        <v>53</v>
      </c>
      <c r="E1" s="2">
        <f ca="1">TODAY()</f>
        <v>46161</v>
      </c>
    </row>
    <row r="2" spans="1:7" x14ac:dyDescent="0.3">
      <c r="A2" t="s">
        <v>41</v>
      </c>
      <c r="B2">
        <v>10000</v>
      </c>
      <c r="C2" t="s">
        <v>66</v>
      </c>
      <c r="D2">
        <v>36</v>
      </c>
      <c r="E2" s="2"/>
    </row>
    <row r="3" spans="1:7" x14ac:dyDescent="0.3">
      <c r="A3" t="s">
        <v>42</v>
      </c>
      <c r="B3">
        <v>180</v>
      </c>
      <c r="C3" t="s">
        <v>67</v>
      </c>
      <c r="D3">
        <v>18</v>
      </c>
      <c r="E3" s="2"/>
    </row>
    <row r="4" spans="1:7" x14ac:dyDescent="0.3">
      <c r="A4" t="s">
        <v>43</v>
      </c>
      <c r="B4">
        <v>20000</v>
      </c>
      <c r="C4" t="s">
        <v>68</v>
      </c>
      <c r="D4">
        <v>12</v>
      </c>
      <c r="E4" s="2"/>
    </row>
    <row r="5" spans="1:7" x14ac:dyDescent="0.3">
      <c r="A5" t="s">
        <v>44</v>
      </c>
      <c r="B5">
        <v>30000</v>
      </c>
      <c r="C5" t="s">
        <v>69</v>
      </c>
      <c r="D5">
        <v>36</v>
      </c>
      <c r="E5" s="2"/>
    </row>
    <row r="6" spans="1:7" x14ac:dyDescent="0.3">
      <c r="A6" t="s">
        <v>45</v>
      </c>
      <c r="B6">
        <v>40000</v>
      </c>
      <c r="C6" t="s">
        <v>54</v>
      </c>
      <c r="D6">
        <v>60</v>
      </c>
      <c r="E6" s="2"/>
    </row>
    <row r="7" spans="1:7" x14ac:dyDescent="0.3">
      <c r="A7" t="s">
        <v>46</v>
      </c>
      <c r="B7">
        <v>24</v>
      </c>
      <c r="E7" s="2"/>
    </row>
    <row r="8" spans="1:7" x14ac:dyDescent="0.3">
      <c r="A8" t="s">
        <v>47</v>
      </c>
      <c r="B8">
        <v>36</v>
      </c>
      <c r="E8" s="2"/>
      <c r="G8" s="4"/>
    </row>
    <row r="9" spans="1:7" x14ac:dyDescent="0.3">
      <c r="A9" t="s">
        <v>48</v>
      </c>
      <c r="B9">
        <v>80000</v>
      </c>
      <c r="E9" s="2"/>
      <c r="G9" s="4"/>
    </row>
    <row r="10" spans="1:7" x14ac:dyDescent="0.3">
      <c r="A10" t="s">
        <v>49</v>
      </c>
      <c r="B10">
        <v>120000</v>
      </c>
      <c r="E10" s="2"/>
      <c r="G10" s="4"/>
    </row>
    <row r="11" spans="1:7" x14ac:dyDescent="0.3">
      <c r="A11" t="s">
        <v>50</v>
      </c>
      <c r="B11">
        <v>500</v>
      </c>
      <c r="E11" s="2"/>
      <c r="G11" s="4"/>
    </row>
    <row r="12" spans="1:7" x14ac:dyDescent="0.3">
      <c r="A12" t="s">
        <v>51</v>
      </c>
      <c r="B12">
        <v>15</v>
      </c>
      <c r="E12" s="2"/>
      <c r="G12" s="4"/>
    </row>
    <row r="13" spans="1:7" x14ac:dyDescent="0.3">
      <c r="E13" s="2"/>
      <c r="G13" s="4"/>
    </row>
    <row r="14" spans="1:7" x14ac:dyDescent="0.3">
      <c r="E14" s="2"/>
      <c r="G14" s="4"/>
    </row>
    <row r="15" spans="1:7" x14ac:dyDescent="0.3">
      <c r="E15" s="2"/>
      <c r="G15" s="4"/>
    </row>
    <row r="16" spans="1:7" x14ac:dyDescent="0.3">
      <c r="E16" s="2"/>
      <c r="G16" s="4"/>
    </row>
    <row r="17" spans="5:7" x14ac:dyDescent="0.3">
      <c r="E17" s="2"/>
      <c r="G17" s="4"/>
    </row>
    <row r="18" spans="5:7" x14ac:dyDescent="0.3">
      <c r="E18" s="2"/>
      <c r="G18" s="4"/>
    </row>
    <row r="19" spans="5:7" x14ac:dyDescent="0.3">
      <c r="E19" s="2"/>
      <c r="G19" s="4"/>
    </row>
    <row r="20" spans="5:7" x14ac:dyDescent="0.3">
      <c r="E20" s="2"/>
      <c r="G20" s="4"/>
    </row>
    <row r="21" spans="5:7" x14ac:dyDescent="0.3">
      <c r="E21" s="2"/>
      <c r="G21" s="4"/>
    </row>
    <row r="22" spans="5:7" x14ac:dyDescent="0.3">
      <c r="E22" s="2"/>
    </row>
    <row r="23" spans="5:7" x14ac:dyDescent="0.3">
      <c r="E23" s="2"/>
      <c r="G23" s="4"/>
    </row>
    <row r="24" spans="5:7" x14ac:dyDescent="0.3">
      <c r="E24" s="2"/>
      <c r="G24" s="4"/>
    </row>
    <row r="25" spans="5:7" x14ac:dyDescent="0.3">
      <c r="E25" s="2"/>
      <c r="G25" s="4"/>
    </row>
    <row r="26" spans="5:7" x14ac:dyDescent="0.3">
      <c r="E26" s="2"/>
      <c r="G26" s="4"/>
    </row>
    <row r="27" spans="5:7" x14ac:dyDescent="0.3">
      <c r="E27" s="2"/>
      <c r="G27" s="4"/>
    </row>
    <row r="28" spans="5:7" x14ac:dyDescent="0.3">
      <c r="E28" s="2"/>
    </row>
    <row r="29" spans="5:7" x14ac:dyDescent="0.3">
      <c r="E29" s="2"/>
    </row>
    <row r="30" spans="5:7" x14ac:dyDescent="0.3">
      <c r="E30" s="2"/>
    </row>
    <row r="31" spans="5:7" x14ac:dyDescent="0.3">
      <c r="E31" s="2"/>
    </row>
    <row r="32" spans="5:7" x14ac:dyDescent="0.3">
      <c r="E32" s="2"/>
    </row>
    <row r="33" spans="5:5" x14ac:dyDescent="0.3">
      <c r="E33" s="2"/>
    </row>
    <row r="34" spans="5:5" x14ac:dyDescent="0.3">
      <c r="E34" s="2"/>
    </row>
    <row r="35" spans="5:5" x14ac:dyDescent="0.3">
      <c r="E35" s="2"/>
    </row>
    <row r="36" spans="5:5" x14ac:dyDescent="0.3">
      <c r="E36" s="2"/>
    </row>
    <row r="37" spans="5:5" x14ac:dyDescent="0.3">
      <c r="E37" s="2"/>
    </row>
    <row r="38" spans="5:5" x14ac:dyDescent="0.3">
      <c r="E38" s="2"/>
    </row>
    <row r="39" spans="5:5" x14ac:dyDescent="0.3">
      <c r="E39" s="2"/>
    </row>
    <row r="40" spans="5:5" x14ac:dyDescent="0.3">
      <c r="E40" s="2"/>
    </row>
    <row r="41" spans="5:5" x14ac:dyDescent="0.3">
      <c r="E41" s="2"/>
    </row>
    <row r="42" spans="5:5" x14ac:dyDescent="0.3">
      <c r="E42" s="2"/>
    </row>
    <row r="43" spans="5:5" x14ac:dyDescent="0.3">
      <c r="E43" s="2"/>
    </row>
    <row r="44" spans="5:5" x14ac:dyDescent="0.3">
      <c r="E44" s="2"/>
    </row>
    <row r="45" spans="5:5" x14ac:dyDescent="0.3">
      <c r="E45" s="2"/>
    </row>
    <row r="46" spans="5:5" x14ac:dyDescent="0.3">
      <c r="E46" s="2"/>
    </row>
    <row r="47" spans="5:5" x14ac:dyDescent="0.3">
      <c r="E47" s="2"/>
    </row>
    <row r="48" spans="5:5" x14ac:dyDescent="0.3">
      <c r="E48" s="2"/>
    </row>
    <row r="49" spans="5:5" x14ac:dyDescent="0.3">
      <c r="E49" s="2"/>
    </row>
    <row r="50" spans="5:5" x14ac:dyDescent="0.3">
      <c r="E50" s="2"/>
    </row>
    <row r="51" spans="5:5" x14ac:dyDescent="0.3">
      <c r="E51" s="2"/>
    </row>
    <row r="52" spans="5:5" x14ac:dyDescent="0.3">
      <c r="E52" s="2"/>
    </row>
    <row r="53" spans="5:5" x14ac:dyDescent="0.3">
      <c r="E53" s="2"/>
    </row>
    <row r="54" spans="5:5" x14ac:dyDescent="0.3">
      <c r="E54" s="2"/>
    </row>
    <row r="55" spans="5:5" x14ac:dyDescent="0.3">
      <c r="E55" s="2"/>
    </row>
    <row r="56" spans="5:5" x14ac:dyDescent="0.3">
      <c r="E56" s="2"/>
    </row>
    <row r="57" spans="5:5" x14ac:dyDescent="0.3">
      <c r="E57" s="2"/>
    </row>
    <row r="58" spans="5:5" x14ac:dyDescent="0.3">
      <c r="E58" s="2"/>
    </row>
    <row r="59" spans="5:5" x14ac:dyDescent="0.3">
      <c r="E59" s="2"/>
    </row>
    <row r="60" spans="5:5" x14ac:dyDescent="0.3">
      <c r="E60" s="2"/>
    </row>
    <row r="61" spans="5:5" x14ac:dyDescent="0.3">
      <c r="E61" s="2"/>
    </row>
    <row r="62" spans="5:5" x14ac:dyDescent="0.3">
      <c r="E62" s="2"/>
    </row>
    <row r="63" spans="5:5" x14ac:dyDescent="0.3">
      <c r="E63" s="2"/>
    </row>
    <row r="64" spans="5:5" x14ac:dyDescent="0.3">
      <c r="E64" s="2"/>
    </row>
    <row r="65" spans="5:5" x14ac:dyDescent="0.3">
      <c r="E65" s="2"/>
    </row>
    <row r="66" spans="5:5" x14ac:dyDescent="0.3">
      <c r="E66" s="2"/>
    </row>
    <row r="67" spans="5:5" x14ac:dyDescent="0.3">
      <c r="E67" s="2"/>
    </row>
    <row r="68" spans="5:5" x14ac:dyDescent="0.3">
      <c r="E68" s="2"/>
    </row>
    <row r="69" spans="5:5" x14ac:dyDescent="0.3">
      <c r="E69" s="2"/>
    </row>
    <row r="70" spans="5:5" x14ac:dyDescent="0.3">
      <c r="E70" s="2"/>
    </row>
    <row r="71" spans="5:5" x14ac:dyDescent="0.3">
      <c r="E71" s="2"/>
    </row>
    <row r="72" spans="5:5" x14ac:dyDescent="0.3">
      <c r="E72" s="2"/>
    </row>
    <row r="73" spans="5:5" x14ac:dyDescent="0.3">
      <c r="E73" s="2"/>
    </row>
    <row r="74" spans="5:5" x14ac:dyDescent="0.3">
      <c r="E74" s="2"/>
    </row>
    <row r="75" spans="5:5" x14ac:dyDescent="0.3">
      <c r="E75" s="2"/>
    </row>
    <row r="76" spans="5:5" x14ac:dyDescent="0.3">
      <c r="E76" s="2"/>
    </row>
    <row r="77" spans="5:5" x14ac:dyDescent="0.3">
      <c r="E77" s="2"/>
    </row>
    <row r="78" spans="5:5" x14ac:dyDescent="0.3">
      <c r="E78" s="2"/>
    </row>
    <row r="79" spans="5:5" x14ac:dyDescent="0.3">
      <c r="E79" s="2"/>
    </row>
    <row r="80" spans="5:5" x14ac:dyDescent="0.3">
      <c r="E80" s="2"/>
    </row>
    <row r="81" spans="5:5" x14ac:dyDescent="0.3">
      <c r="E81" s="2"/>
    </row>
    <row r="82" spans="5:5" x14ac:dyDescent="0.3">
      <c r="E82" s="2"/>
    </row>
    <row r="83" spans="5:5" x14ac:dyDescent="0.3">
      <c r="E83" s="2"/>
    </row>
    <row r="84" spans="5:5" x14ac:dyDescent="0.3">
      <c r="E84" s="2"/>
    </row>
    <row r="85" spans="5:5" x14ac:dyDescent="0.3">
      <c r="E85" s="2"/>
    </row>
    <row r="86" spans="5:5" x14ac:dyDescent="0.3">
      <c r="E86" s="2"/>
    </row>
    <row r="87" spans="5:5" x14ac:dyDescent="0.3">
      <c r="E87" s="2"/>
    </row>
    <row r="88" spans="5:5" x14ac:dyDescent="0.3">
      <c r="E88" s="2"/>
    </row>
    <row r="89" spans="5:5" x14ac:dyDescent="0.3">
      <c r="E89" s="2"/>
    </row>
    <row r="90" spans="5:5" x14ac:dyDescent="0.3">
      <c r="E90" s="2"/>
    </row>
    <row r="91" spans="5:5" x14ac:dyDescent="0.3">
      <c r="E91" s="2"/>
    </row>
    <row r="92" spans="5:5" x14ac:dyDescent="0.3">
      <c r="E92" s="2"/>
    </row>
    <row r="93" spans="5:5" x14ac:dyDescent="0.3">
      <c r="E93" s="2"/>
    </row>
    <row r="94" spans="5:5" x14ac:dyDescent="0.3">
      <c r="E94" s="2"/>
    </row>
    <row r="95" spans="5:5" x14ac:dyDescent="0.3">
      <c r="E95" s="2"/>
    </row>
    <row r="96" spans="5:5" x14ac:dyDescent="0.3">
      <c r="E96" s="2"/>
    </row>
    <row r="97" spans="5:5" x14ac:dyDescent="0.3">
      <c r="E97" s="2"/>
    </row>
    <row r="98" spans="5:5" x14ac:dyDescent="0.3">
      <c r="E98" s="2"/>
    </row>
    <row r="99" spans="5:5" x14ac:dyDescent="0.3">
      <c r="E99" s="2"/>
    </row>
    <row r="100" spans="5:5" x14ac:dyDescent="0.3">
      <c r="E100" s="2"/>
    </row>
    <row r="101" spans="5:5" x14ac:dyDescent="0.3">
      <c r="E101" s="2"/>
    </row>
    <row r="102" spans="5:5" x14ac:dyDescent="0.3">
      <c r="E102" s="2"/>
    </row>
    <row r="103" spans="5:5" x14ac:dyDescent="0.3">
      <c r="E103" s="2"/>
    </row>
    <row r="104" spans="5:5" x14ac:dyDescent="0.3">
      <c r="E104" s="2"/>
    </row>
    <row r="105" spans="5:5" x14ac:dyDescent="0.3">
      <c r="E105" s="2"/>
    </row>
    <row r="106" spans="5:5" x14ac:dyDescent="0.3">
      <c r="E106" s="2"/>
    </row>
    <row r="107" spans="5:5" x14ac:dyDescent="0.3">
      <c r="E107" s="2"/>
    </row>
    <row r="108" spans="5:5" x14ac:dyDescent="0.3">
      <c r="E108" s="2"/>
    </row>
    <row r="109" spans="5:5" x14ac:dyDescent="0.3">
      <c r="E109" s="2"/>
    </row>
    <row r="110" spans="5:5" x14ac:dyDescent="0.3">
      <c r="E110" s="2"/>
    </row>
    <row r="111" spans="5:5" x14ac:dyDescent="0.3">
      <c r="E111" s="2"/>
    </row>
    <row r="112" spans="5:5" x14ac:dyDescent="0.3">
      <c r="E112" s="2"/>
    </row>
    <row r="113" spans="5:5" x14ac:dyDescent="0.3">
      <c r="E113" s="2"/>
    </row>
    <row r="114" spans="5:5" x14ac:dyDescent="0.3">
      <c r="E114" s="2"/>
    </row>
    <row r="115" spans="5:5" x14ac:dyDescent="0.3">
      <c r="E115" s="2"/>
    </row>
    <row r="116" spans="5:5" x14ac:dyDescent="0.3">
      <c r="E116" s="2"/>
    </row>
    <row r="117" spans="5:5" x14ac:dyDescent="0.3">
      <c r="E117" s="2"/>
    </row>
    <row r="118" spans="5:5" x14ac:dyDescent="0.3">
      <c r="E118" s="2"/>
    </row>
    <row r="119" spans="5:5" x14ac:dyDescent="0.3">
      <c r="E119" s="2"/>
    </row>
    <row r="120" spans="5:5" x14ac:dyDescent="0.3">
      <c r="E120" s="2"/>
    </row>
    <row r="121" spans="5:5" x14ac:dyDescent="0.3">
      <c r="E121" s="2"/>
    </row>
    <row r="122" spans="5:5" x14ac:dyDescent="0.3">
      <c r="E122" s="2"/>
    </row>
    <row r="123" spans="5:5" x14ac:dyDescent="0.3">
      <c r="E123" s="2"/>
    </row>
    <row r="124" spans="5:5" x14ac:dyDescent="0.3">
      <c r="E124" s="2"/>
    </row>
    <row r="125" spans="5:5" x14ac:dyDescent="0.3">
      <c r="E125" s="2"/>
    </row>
    <row r="126" spans="5:5" x14ac:dyDescent="0.3">
      <c r="E126" s="2"/>
    </row>
    <row r="127" spans="5:5" x14ac:dyDescent="0.3">
      <c r="E127" s="2"/>
    </row>
    <row r="128" spans="5:5" x14ac:dyDescent="0.3">
      <c r="E128" s="2"/>
    </row>
    <row r="129" spans="5:5" x14ac:dyDescent="0.3">
      <c r="E129" s="2"/>
    </row>
    <row r="130" spans="5:5" x14ac:dyDescent="0.3">
      <c r="E130" s="2"/>
    </row>
    <row r="131" spans="5:5" x14ac:dyDescent="0.3">
      <c r="E131" s="2"/>
    </row>
    <row r="132" spans="5:5" x14ac:dyDescent="0.3">
      <c r="E132" s="2"/>
    </row>
    <row r="133" spans="5:5" x14ac:dyDescent="0.3">
      <c r="E133" s="2"/>
    </row>
    <row r="134" spans="5:5" x14ac:dyDescent="0.3">
      <c r="E134" s="2"/>
    </row>
    <row r="135" spans="5:5" x14ac:dyDescent="0.3">
      <c r="E135" s="2"/>
    </row>
    <row r="136" spans="5:5" x14ac:dyDescent="0.3">
      <c r="E136" s="2"/>
    </row>
    <row r="137" spans="5:5" x14ac:dyDescent="0.3">
      <c r="E137" s="2"/>
    </row>
    <row r="138" spans="5:5" x14ac:dyDescent="0.3">
      <c r="E138" s="2"/>
    </row>
    <row r="139" spans="5:5" x14ac:dyDescent="0.3">
      <c r="E139" s="2"/>
    </row>
    <row r="140" spans="5:5" x14ac:dyDescent="0.3">
      <c r="E140" s="2"/>
    </row>
    <row r="141" spans="5:5" x14ac:dyDescent="0.3">
      <c r="E141" s="2"/>
    </row>
    <row r="142" spans="5:5" x14ac:dyDescent="0.3">
      <c r="E142" s="2"/>
    </row>
    <row r="143" spans="5:5" x14ac:dyDescent="0.3">
      <c r="E143" s="2"/>
    </row>
    <row r="144" spans="5:5" x14ac:dyDescent="0.3">
      <c r="E144" s="2"/>
    </row>
    <row r="145" spans="5:5" x14ac:dyDescent="0.3">
      <c r="E145" s="2"/>
    </row>
    <row r="146" spans="5:5" x14ac:dyDescent="0.3">
      <c r="E146" s="2"/>
    </row>
    <row r="147" spans="5:5" x14ac:dyDescent="0.3">
      <c r="E147" s="2"/>
    </row>
    <row r="148" spans="5:5" x14ac:dyDescent="0.3">
      <c r="E148" s="2"/>
    </row>
    <row r="149" spans="5:5" x14ac:dyDescent="0.3">
      <c r="E149" s="2"/>
    </row>
    <row r="150" spans="5:5" x14ac:dyDescent="0.3">
      <c r="E150" s="2"/>
    </row>
    <row r="151" spans="5:5" x14ac:dyDescent="0.3">
      <c r="E151" s="2"/>
    </row>
    <row r="152" spans="5:5" x14ac:dyDescent="0.3">
      <c r="E152" s="2"/>
    </row>
    <row r="153" spans="5:5" x14ac:dyDescent="0.3">
      <c r="E153" s="2"/>
    </row>
    <row r="154" spans="5:5" x14ac:dyDescent="0.3">
      <c r="E154" s="2"/>
    </row>
    <row r="155" spans="5:5" x14ac:dyDescent="0.3">
      <c r="E155" s="2"/>
    </row>
    <row r="156" spans="5:5" x14ac:dyDescent="0.3">
      <c r="E156" s="2"/>
    </row>
    <row r="157" spans="5:5" x14ac:dyDescent="0.3">
      <c r="E157" s="2"/>
    </row>
    <row r="158" spans="5:5" x14ac:dyDescent="0.3">
      <c r="E158" s="2"/>
    </row>
    <row r="159" spans="5:5" x14ac:dyDescent="0.3">
      <c r="E159" s="2"/>
    </row>
    <row r="160" spans="5:5" x14ac:dyDescent="0.3">
      <c r="E160" s="2"/>
    </row>
    <row r="161" spans="5:5" x14ac:dyDescent="0.3">
      <c r="E161" s="2"/>
    </row>
    <row r="162" spans="5:5" x14ac:dyDescent="0.3">
      <c r="E162" s="2"/>
    </row>
    <row r="163" spans="5:5" x14ac:dyDescent="0.3">
      <c r="E163" s="2"/>
    </row>
    <row r="164" spans="5:5" x14ac:dyDescent="0.3">
      <c r="E164" s="2"/>
    </row>
    <row r="165" spans="5:5" x14ac:dyDescent="0.3">
      <c r="E165" s="2"/>
    </row>
    <row r="166" spans="5:5" x14ac:dyDescent="0.3">
      <c r="E166" s="2"/>
    </row>
    <row r="167" spans="5:5" x14ac:dyDescent="0.3">
      <c r="E167" s="2"/>
    </row>
    <row r="168" spans="5:5" x14ac:dyDescent="0.3">
      <c r="E168" s="2"/>
    </row>
    <row r="169" spans="5:5" x14ac:dyDescent="0.3">
      <c r="E169" s="2"/>
    </row>
    <row r="170" spans="5:5" x14ac:dyDescent="0.3">
      <c r="E170" s="2"/>
    </row>
    <row r="171" spans="5:5" x14ac:dyDescent="0.3">
      <c r="E171" s="2"/>
    </row>
    <row r="172" spans="5:5" x14ac:dyDescent="0.3">
      <c r="E172" s="2"/>
    </row>
    <row r="173" spans="5:5" x14ac:dyDescent="0.3">
      <c r="E173" s="2"/>
    </row>
    <row r="174" spans="5:5" x14ac:dyDescent="0.3">
      <c r="E174" s="2"/>
    </row>
    <row r="175" spans="5:5" x14ac:dyDescent="0.3">
      <c r="E175" s="2"/>
    </row>
    <row r="176" spans="5:5" x14ac:dyDescent="0.3">
      <c r="E176" s="2"/>
    </row>
    <row r="177" spans="5:5" x14ac:dyDescent="0.3">
      <c r="E177" s="2"/>
    </row>
    <row r="178" spans="5:5" x14ac:dyDescent="0.3">
      <c r="E178" s="2"/>
    </row>
    <row r="179" spans="5:5" x14ac:dyDescent="0.3">
      <c r="E179" s="2"/>
    </row>
    <row r="180" spans="5:5" x14ac:dyDescent="0.3">
      <c r="E180" s="2"/>
    </row>
    <row r="181" spans="5:5" x14ac:dyDescent="0.3">
      <c r="E181" s="2"/>
    </row>
    <row r="182" spans="5:5" x14ac:dyDescent="0.3">
      <c r="E182" s="2"/>
    </row>
    <row r="183" spans="5:5" x14ac:dyDescent="0.3">
      <c r="E183" s="2"/>
    </row>
    <row r="184" spans="5:5" x14ac:dyDescent="0.3">
      <c r="E184" s="2"/>
    </row>
    <row r="185" spans="5:5" x14ac:dyDescent="0.3">
      <c r="E185" s="2"/>
    </row>
    <row r="186" spans="5:5" x14ac:dyDescent="0.3">
      <c r="E186" s="2"/>
    </row>
    <row r="187" spans="5:5" x14ac:dyDescent="0.3">
      <c r="E187" s="2"/>
    </row>
    <row r="188" spans="5:5" x14ac:dyDescent="0.3">
      <c r="E188" s="2"/>
    </row>
    <row r="189" spans="5:5" x14ac:dyDescent="0.3">
      <c r="E189" s="2"/>
    </row>
    <row r="190" spans="5:5" x14ac:dyDescent="0.3">
      <c r="E190" s="2"/>
    </row>
    <row r="191" spans="5:5" x14ac:dyDescent="0.3">
      <c r="E191" s="2"/>
    </row>
    <row r="192" spans="5:5" x14ac:dyDescent="0.3">
      <c r="E192" s="2"/>
    </row>
    <row r="193" spans="5:5" x14ac:dyDescent="0.3">
      <c r="E193" s="2"/>
    </row>
    <row r="194" spans="5:5" x14ac:dyDescent="0.3">
      <c r="E194" s="2"/>
    </row>
    <row r="195" spans="5:5" x14ac:dyDescent="0.3">
      <c r="E195" s="2"/>
    </row>
    <row r="196" spans="5:5" x14ac:dyDescent="0.3">
      <c r="E196" s="2"/>
    </row>
    <row r="197" spans="5:5" x14ac:dyDescent="0.3">
      <c r="E197" s="2"/>
    </row>
    <row r="198" spans="5:5" x14ac:dyDescent="0.3">
      <c r="E198" s="2"/>
    </row>
    <row r="199" spans="5:5" x14ac:dyDescent="0.3">
      <c r="E199" s="2"/>
    </row>
    <row r="200" spans="5:5" x14ac:dyDescent="0.3">
      <c r="E200" s="2"/>
    </row>
    <row r="201" spans="5:5" x14ac:dyDescent="0.3">
      <c r="E201" s="2"/>
    </row>
    <row r="202" spans="5:5" x14ac:dyDescent="0.3">
      <c r="E202" s="2"/>
    </row>
    <row r="203" spans="5:5" x14ac:dyDescent="0.3">
      <c r="E203" s="2"/>
    </row>
    <row r="204" spans="5:5" x14ac:dyDescent="0.3">
      <c r="E204" s="2"/>
    </row>
    <row r="205" spans="5:5" x14ac:dyDescent="0.3">
      <c r="E205" s="2"/>
    </row>
    <row r="206" spans="5:5" x14ac:dyDescent="0.3">
      <c r="E206" s="2"/>
    </row>
    <row r="207" spans="5:5" x14ac:dyDescent="0.3">
      <c r="E207" s="2"/>
    </row>
    <row r="208" spans="5:5" x14ac:dyDescent="0.3">
      <c r="E208" s="2"/>
    </row>
    <row r="209" spans="5:5" x14ac:dyDescent="0.3">
      <c r="E209" s="2"/>
    </row>
    <row r="210" spans="5:5" x14ac:dyDescent="0.3">
      <c r="E210" s="2"/>
    </row>
    <row r="211" spans="5:5" x14ac:dyDescent="0.3">
      <c r="E211" s="2"/>
    </row>
    <row r="212" spans="5:5" x14ac:dyDescent="0.3">
      <c r="E212" s="2"/>
    </row>
    <row r="213" spans="5:5" x14ac:dyDescent="0.3">
      <c r="E213" s="2"/>
    </row>
    <row r="214" spans="5:5" x14ac:dyDescent="0.3">
      <c r="E214" s="2"/>
    </row>
    <row r="215" spans="5:5" x14ac:dyDescent="0.3">
      <c r="E215" s="2"/>
    </row>
    <row r="216" spans="5:5" x14ac:dyDescent="0.3">
      <c r="E216" s="2"/>
    </row>
    <row r="217" spans="5:5" x14ac:dyDescent="0.3">
      <c r="E217" s="2"/>
    </row>
    <row r="218" spans="5:5" x14ac:dyDescent="0.3">
      <c r="E218" s="2"/>
    </row>
    <row r="219" spans="5:5" x14ac:dyDescent="0.3">
      <c r="E219" s="2"/>
    </row>
    <row r="220" spans="5:5" x14ac:dyDescent="0.3">
      <c r="E220" s="2"/>
    </row>
    <row r="221" spans="5:5" x14ac:dyDescent="0.3">
      <c r="E221" s="2"/>
    </row>
    <row r="222" spans="5:5" x14ac:dyDescent="0.3">
      <c r="E222" s="2"/>
    </row>
    <row r="223" spans="5:5" x14ac:dyDescent="0.3">
      <c r="E223" s="2"/>
    </row>
    <row r="224" spans="5:5" x14ac:dyDescent="0.3">
      <c r="E224" s="2"/>
    </row>
    <row r="225" spans="5:5" x14ac:dyDescent="0.3">
      <c r="E225" s="2"/>
    </row>
    <row r="226" spans="5:5" x14ac:dyDescent="0.3">
      <c r="E226" s="2"/>
    </row>
    <row r="227" spans="5:5" x14ac:dyDescent="0.3">
      <c r="E227" s="2"/>
    </row>
    <row r="228" spans="5:5" x14ac:dyDescent="0.3">
      <c r="E228" s="2"/>
    </row>
    <row r="229" spans="5:5" x14ac:dyDescent="0.3">
      <c r="E229" s="2"/>
    </row>
    <row r="230" spans="5:5" x14ac:dyDescent="0.3">
      <c r="E230" s="2"/>
    </row>
    <row r="231" spans="5:5" x14ac:dyDescent="0.3">
      <c r="E231" s="2"/>
    </row>
    <row r="232" spans="5:5" x14ac:dyDescent="0.3">
      <c r="E232" s="2"/>
    </row>
    <row r="233" spans="5:5" x14ac:dyDescent="0.3">
      <c r="E233" s="2"/>
    </row>
    <row r="234" spans="5:5" x14ac:dyDescent="0.3">
      <c r="E234" s="2"/>
    </row>
    <row r="235" spans="5:5" x14ac:dyDescent="0.3">
      <c r="E235" s="2"/>
    </row>
    <row r="236" spans="5:5" x14ac:dyDescent="0.3">
      <c r="E236" s="2"/>
    </row>
    <row r="237" spans="5:5" x14ac:dyDescent="0.3">
      <c r="E237" s="2"/>
    </row>
    <row r="238" spans="5:5" x14ac:dyDescent="0.3">
      <c r="E238" s="2"/>
    </row>
    <row r="239" spans="5:5" x14ac:dyDescent="0.3">
      <c r="E239" s="2"/>
    </row>
    <row r="240" spans="5:5" x14ac:dyDescent="0.3">
      <c r="E240" s="2"/>
    </row>
    <row r="241" spans="5:5" x14ac:dyDescent="0.3">
      <c r="E241" s="2"/>
    </row>
    <row r="242" spans="5:5" x14ac:dyDescent="0.3">
      <c r="E242" s="2"/>
    </row>
    <row r="243" spans="5:5" x14ac:dyDescent="0.3">
      <c r="E243" s="2"/>
    </row>
    <row r="244" spans="5:5" x14ac:dyDescent="0.3">
      <c r="E244" s="2"/>
    </row>
    <row r="245" spans="5:5" x14ac:dyDescent="0.3">
      <c r="E245" s="2"/>
    </row>
    <row r="246" spans="5:5" x14ac:dyDescent="0.3">
      <c r="E246" s="2"/>
    </row>
    <row r="247" spans="5:5" x14ac:dyDescent="0.3">
      <c r="E247" s="2"/>
    </row>
    <row r="248" spans="5:5" x14ac:dyDescent="0.3">
      <c r="E248" s="2"/>
    </row>
    <row r="249" spans="5:5" x14ac:dyDescent="0.3">
      <c r="E249" s="2"/>
    </row>
    <row r="250" spans="5:5" x14ac:dyDescent="0.3">
      <c r="E250" s="2"/>
    </row>
    <row r="251" spans="5:5" x14ac:dyDescent="0.3">
      <c r="E251" s="2"/>
    </row>
    <row r="252" spans="5:5" x14ac:dyDescent="0.3">
      <c r="E252" s="2"/>
    </row>
    <row r="253" spans="5:5" x14ac:dyDescent="0.3">
      <c r="E253" s="2"/>
    </row>
    <row r="254" spans="5:5" x14ac:dyDescent="0.3">
      <c r="E254" s="2"/>
    </row>
    <row r="255" spans="5:5" x14ac:dyDescent="0.3">
      <c r="E255" s="2"/>
    </row>
    <row r="256" spans="5:5" x14ac:dyDescent="0.3">
      <c r="E256" s="2"/>
    </row>
    <row r="257" spans="5:5" x14ac:dyDescent="0.3">
      <c r="E257" s="2"/>
    </row>
    <row r="258" spans="5:5" x14ac:dyDescent="0.3">
      <c r="E258" s="2"/>
    </row>
    <row r="259" spans="5:5" x14ac:dyDescent="0.3">
      <c r="E259" s="2"/>
    </row>
    <row r="260" spans="5:5" x14ac:dyDescent="0.3">
      <c r="E260" s="2"/>
    </row>
    <row r="261" spans="5:5" x14ac:dyDescent="0.3">
      <c r="E261" s="2"/>
    </row>
    <row r="262" spans="5:5" x14ac:dyDescent="0.3">
      <c r="E262" s="2"/>
    </row>
    <row r="263" spans="5:5" x14ac:dyDescent="0.3">
      <c r="E263" s="2"/>
    </row>
    <row r="264" spans="5:5" x14ac:dyDescent="0.3">
      <c r="E264" s="2"/>
    </row>
    <row r="265" spans="5:5" x14ac:dyDescent="0.3">
      <c r="E265" s="2"/>
    </row>
    <row r="266" spans="5:5" x14ac:dyDescent="0.3">
      <c r="E266" s="2"/>
    </row>
    <row r="267" spans="5:5" x14ac:dyDescent="0.3">
      <c r="E267" s="2"/>
    </row>
    <row r="268" spans="5:5" x14ac:dyDescent="0.3">
      <c r="E268" s="2"/>
    </row>
    <row r="269" spans="5:5" x14ac:dyDescent="0.3">
      <c r="E269" s="2"/>
    </row>
    <row r="270" spans="5:5" x14ac:dyDescent="0.3">
      <c r="E270" s="2"/>
    </row>
    <row r="271" spans="5:5" x14ac:dyDescent="0.3">
      <c r="E271" s="2"/>
    </row>
    <row r="272" spans="5:5" x14ac:dyDescent="0.3">
      <c r="E272" s="2"/>
    </row>
    <row r="273" spans="5:5" x14ac:dyDescent="0.3">
      <c r="E273" s="2"/>
    </row>
    <row r="274" spans="5:5" x14ac:dyDescent="0.3">
      <c r="E274" s="2"/>
    </row>
    <row r="275" spans="5:5" x14ac:dyDescent="0.3">
      <c r="E275" s="2"/>
    </row>
    <row r="276" spans="5:5" x14ac:dyDescent="0.3">
      <c r="E276" s="2"/>
    </row>
    <row r="277" spans="5:5" x14ac:dyDescent="0.3">
      <c r="E277" s="2"/>
    </row>
    <row r="278" spans="5:5" x14ac:dyDescent="0.3">
      <c r="E278" s="2"/>
    </row>
    <row r="279" spans="5:5" x14ac:dyDescent="0.3">
      <c r="E279" s="2"/>
    </row>
    <row r="280" spans="5:5" x14ac:dyDescent="0.3">
      <c r="E280" s="2"/>
    </row>
    <row r="281" spans="5:5" x14ac:dyDescent="0.3">
      <c r="E281" s="2"/>
    </row>
    <row r="282" spans="5:5" x14ac:dyDescent="0.3">
      <c r="E282" s="2"/>
    </row>
    <row r="283" spans="5:5" x14ac:dyDescent="0.3">
      <c r="E283" s="2"/>
    </row>
    <row r="284" spans="5:5" x14ac:dyDescent="0.3">
      <c r="E284" s="2"/>
    </row>
    <row r="285" spans="5:5" x14ac:dyDescent="0.3">
      <c r="E285" s="2"/>
    </row>
    <row r="286" spans="5:5" x14ac:dyDescent="0.3">
      <c r="E286" s="2"/>
    </row>
    <row r="287" spans="5:5" x14ac:dyDescent="0.3">
      <c r="E287" s="2"/>
    </row>
    <row r="288" spans="5:5" x14ac:dyDescent="0.3">
      <c r="E288" s="2"/>
    </row>
    <row r="289" spans="5:5" x14ac:dyDescent="0.3">
      <c r="E289" s="2"/>
    </row>
    <row r="290" spans="5:5" x14ac:dyDescent="0.3">
      <c r="E290" s="2"/>
    </row>
    <row r="291" spans="5:5" x14ac:dyDescent="0.3">
      <c r="E291" s="2"/>
    </row>
    <row r="292" spans="5:5" x14ac:dyDescent="0.3">
      <c r="E292" s="2"/>
    </row>
    <row r="293" spans="5:5" x14ac:dyDescent="0.3">
      <c r="E293" s="2"/>
    </row>
    <row r="294" spans="5:5" x14ac:dyDescent="0.3">
      <c r="E294" s="2"/>
    </row>
    <row r="295" spans="5:5" x14ac:dyDescent="0.3">
      <c r="E295" s="2"/>
    </row>
    <row r="296" spans="5:5" x14ac:dyDescent="0.3">
      <c r="E296" s="2"/>
    </row>
    <row r="297" spans="5:5" x14ac:dyDescent="0.3">
      <c r="E297" s="2"/>
    </row>
    <row r="298" spans="5:5" x14ac:dyDescent="0.3">
      <c r="E298" s="2"/>
    </row>
    <row r="299" spans="5:5" x14ac:dyDescent="0.3">
      <c r="E299" s="2"/>
    </row>
    <row r="300" spans="5:5" x14ac:dyDescent="0.3">
      <c r="E300" s="2"/>
    </row>
    <row r="301" spans="5:5" x14ac:dyDescent="0.3">
      <c r="E301" s="2"/>
    </row>
    <row r="302" spans="5:5" x14ac:dyDescent="0.3">
      <c r="E302" s="2"/>
    </row>
    <row r="303" spans="5:5" x14ac:dyDescent="0.3">
      <c r="E303" s="2"/>
    </row>
    <row r="304" spans="5:5" x14ac:dyDescent="0.3">
      <c r="E304" s="2"/>
    </row>
    <row r="305" spans="5:5" x14ac:dyDescent="0.3">
      <c r="E305" s="2"/>
    </row>
    <row r="306" spans="5:5" x14ac:dyDescent="0.3">
      <c r="E306" s="2"/>
    </row>
    <row r="307" spans="5:5" x14ac:dyDescent="0.3">
      <c r="E307" s="2"/>
    </row>
    <row r="308" spans="5:5" x14ac:dyDescent="0.3">
      <c r="E308" s="2"/>
    </row>
    <row r="309" spans="5:5" x14ac:dyDescent="0.3">
      <c r="E309" s="2"/>
    </row>
    <row r="310" spans="5:5" x14ac:dyDescent="0.3">
      <c r="E310" s="2"/>
    </row>
    <row r="311" spans="5:5" x14ac:dyDescent="0.3">
      <c r="E311" s="2"/>
    </row>
    <row r="312" spans="5:5" x14ac:dyDescent="0.3">
      <c r="E312" s="2"/>
    </row>
    <row r="313" spans="5:5" x14ac:dyDescent="0.3">
      <c r="E313" s="2"/>
    </row>
    <row r="314" spans="5:5" x14ac:dyDescent="0.3">
      <c r="E314" s="2"/>
    </row>
    <row r="315" spans="5:5" x14ac:dyDescent="0.3">
      <c r="E315" s="2"/>
    </row>
    <row r="316" spans="5:5" x14ac:dyDescent="0.3">
      <c r="E316" s="2"/>
    </row>
    <row r="317" spans="5:5" x14ac:dyDescent="0.3">
      <c r="E317" s="2"/>
    </row>
    <row r="318" spans="5:5" x14ac:dyDescent="0.3">
      <c r="E318" s="2"/>
    </row>
    <row r="319" spans="5:5" x14ac:dyDescent="0.3">
      <c r="E319" s="2"/>
    </row>
    <row r="320" spans="5:5" x14ac:dyDescent="0.3">
      <c r="E320" s="2"/>
    </row>
    <row r="321" spans="5:5" x14ac:dyDescent="0.3">
      <c r="E321" s="2"/>
    </row>
    <row r="322" spans="5:5" x14ac:dyDescent="0.3">
      <c r="E322" s="2"/>
    </row>
    <row r="323" spans="5:5" x14ac:dyDescent="0.3">
      <c r="E323" s="2"/>
    </row>
    <row r="324" spans="5:5" x14ac:dyDescent="0.3">
      <c r="E324" s="2"/>
    </row>
    <row r="325" spans="5:5" x14ac:dyDescent="0.3">
      <c r="E325" s="2"/>
    </row>
    <row r="326" spans="5:5" x14ac:dyDescent="0.3">
      <c r="E326" s="2"/>
    </row>
    <row r="327" spans="5:5" x14ac:dyDescent="0.3">
      <c r="E327" s="2"/>
    </row>
    <row r="328" spans="5:5" x14ac:dyDescent="0.3">
      <c r="E328" s="2"/>
    </row>
    <row r="329" spans="5:5" x14ac:dyDescent="0.3">
      <c r="E329" s="2"/>
    </row>
    <row r="330" spans="5:5" x14ac:dyDescent="0.3">
      <c r="E330" s="2"/>
    </row>
    <row r="331" spans="5:5" x14ac:dyDescent="0.3">
      <c r="E331" s="2"/>
    </row>
    <row r="332" spans="5:5" x14ac:dyDescent="0.3">
      <c r="E332" s="2"/>
    </row>
    <row r="333" spans="5:5" x14ac:dyDescent="0.3">
      <c r="E333" s="2"/>
    </row>
    <row r="334" spans="5:5" x14ac:dyDescent="0.3">
      <c r="E334" s="2"/>
    </row>
    <row r="335" spans="5:5" x14ac:dyDescent="0.3">
      <c r="E335" s="2"/>
    </row>
    <row r="336" spans="5:5" x14ac:dyDescent="0.3">
      <c r="E336" s="2"/>
    </row>
    <row r="337" spans="5:5" x14ac:dyDescent="0.3">
      <c r="E337" s="2"/>
    </row>
    <row r="338" spans="5:5" x14ac:dyDescent="0.3">
      <c r="E338" s="2"/>
    </row>
    <row r="339" spans="5:5" x14ac:dyDescent="0.3">
      <c r="E339" s="2"/>
    </row>
    <row r="340" spans="5:5" x14ac:dyDescent="0.3">
      <c r="E340" s="2"/>
    </row>
    <row r="341" spans="5:5" x14ac:dyDescent="0.3">
      <c r="E341" s="2"/>
    </row>
    <row r="342" spans="5:5" x14ac:dyDescent="0.3">
      <c r="E342" s="2"/>
    </row>
    <row r="343" spans="5:5" x14ac:dyDescent="0.3">
      <c r="E343" s="2"/>
    </row>
    <row r="344" spans="5:5" x14ac:dyDescent="0.3">
      <c r="E344" s="2"/>
    </row>
    <row r="345" spans="5:5" x14ac:dyDescent="0.3">
      <c r="E345" s="2"/>
    </row>
    <row r="346" spans="5:5" x14ac:dyDescent="0.3">
      <c r="E346" s="2"/>
    </row>
    <row r="347" spans="5:5" x14ac:dyDescent="0.3">
      <c r="E347" s="2"/>
    </row>
    <row r="348" spans="5:5" x14ac:dyDescent="0.3">
      <c r="E348" s="2"/>
    </row>
    <row r="349" spans="5:5" x14ac:dyDescent="0.3">
      <c r="E349" s="2"/>
    </row>
    <row r="350" spans="5:5" x14ac:dyDescent="0.3">
      <c r="E350" s="2"/>
    </row>
    <row r="351" spans="5:5" x14ac:dyDescent="0.3">
      <c r="E351" s="2"/>
    </row>
    <row r="352" spans="5:5" x14ac:dyDescent="0.3">
      <c r="E352" s="2"/>
    </row>
    <row r="353" spans="5:5" x14ac:dyDescent="0.3">
      <c r="E353" s="2"/>
    </row>
    <row r="354" spans="5:5" x14ac:dyDescent="0.3">
      <c r="E354" s="2"/>
    </row>
    <row r="355" spans="5:5" x14ac:dyDescent="0.3">
      <c r="E355" s="2"/>
    </row>
    <row r="356" spans="5:5" x14ac:dyDescent="0.3">
      <c r="E356" s="2"/>
    </row>
    <row r="357" spans="5:5" x14ac:dyDescent="0.3">
      <c r="E357" s="2"/>
    </row>
    <row r="358" spans="5:5" x14ac:dyDescent="0.3">
      <c r="E358" s="2"/>
    </row>
    <row r="359" spans="5:5" x14ac:dyDescent="0.3">
      <c r="E359" s="2"/>
    </row>
    <row r="360" spans="5:5" x14ac:dyDescent="0.3">
      <c r="E360" s="2"/>
    </row>
    <row r="361" spans="5:5" x14ac:dyDescent="0.3">
      <c r="E361" s="2"/>
    </row>
    <row r="362" spans="5:5" x14ac:dyDescent="0.3">
      <c r="E362" s="2"/>
    </row>
    <row r="363" spans="5:5" x14ac:dyDescent="0.3">
      <c r="E363" s="2"/>
    </row>
    <row r="364" spans="5:5" x14ac:dyDescent="0.3">
      <c r="E364" s="2"/>
    </row>
    <row r="365" spans="5:5" x14ac:dyDescent="0.3">
      <c r="E365" s="2"/>
    </row>
    <row r="366" spans="5:5" x14ac:dyDescent="0.3">
      <c r="E366" s="2"/>
    </row>
    <row r="367" spans="5:5" x14ac:dyDescent="0.3">
      <c r="E367" s="2"/>
    </row>
    <row r="368" spans="5:5" x14ac:dyDescent="0.3">
      <c r="E368" s="2"/>
    </row>
    <row r="369" spans="5:5" x14ac:dyDescent="0.3">
      <c r="E369" s="2"/>
    </row>
    <row r="370" spans="5:5" x14ac:dyDescent="0.3">
      <c r="E370" s="2"/>
    </row>
    <row r="371" spans="5:5" x14ac:dyDescent="0.3">
      <c r="E371" s="2"/>
    </row>
    <row r="372" spans="5:5" x14ac:dyDescent="0.3">
      <c r="E372" s="2"/>
    </row>
    <row r="373" spans="5:5" x14ac:dyDescent="0.3">
      <c r="E373" s="2"/>
    </row>
    <row r="374" spans="5:5" x14ac:dyDescent="0.3">
      <c r="E374" s="2"/>
    </row>
    <row r="375" spans="5:5" x14ac:dyDescent="0.3">
      <c r="E375" s="2"/>
    </row>
    <row r="376" spans="5:5" x14ac:dyDescent="0.3">
      <c r="E376" s="2"/>
    </row>
    <row r="377" spans="5:5" x14ac:dyDescent="0.3">
      <c r="E377" s="2"/>
    </row>
    <row r="378" spans="5:5" x14ac:dyDescent="0.3">
      <c r="E378" s="2"/>
    </row>
    <row r="379" spans="5:5" x14ac:dyDescent="0.3">
      <c r="E379" s="2"/>
    </row>
    <row r="380" spans="5:5" x14ac:dyDescent="0.3">
      <c r="E380" s="2"/>
    </row>
    <row r="381" spans="5:5" x14ac:dyDescent="0.3">
      <c r="E381" s="2"/>
    </row>
    <row r="382" spans="5:5" x14ac:dyDescent="0.3">
      <c r="E382" s="2"/>
    </row>
    <row r="383" spans="5:5" x14ac:dyDescent="0.3">
      <c r="E383" s="2"/>
    </row>
    <row r="384" spans="5:5" x14ac:dyDescent="0.3">
      <c r="E384" s="2"/>
    </row>
    <row r="385" spans="5:5" x14ac:dyDescent="0.3">
      <c r="E385" s="2"/>
    </row>
    <row r="386" spans="5:5" x14ac:dyDescent="0.3">
      <c r="E386" s="2"/>
    </row>
    <row r="387" spans="5:5" x14ac:dyDescent="0.3">
      <c r="E387" s="2"/>
    </row>
    <row r="388" spans="5:5" x14ac:dyDescent="0.3">
      <c r="E388" s="2"/>
    </row>
    <row r="389" spans="5:5" x14ac:dyDescent="0.3">
      <c r="E389" s="2"/>
    </row>
    <row r="390" spans="5:5" x14ac:dyDescent="0.3">
      <c r="E390" s="2"/>
    </row>
    <row r="391" spans="5:5" x14ac:dyDescent="0.3">
      <c r="E391" s="2"/>
    </row>
    <row r="392" spans="5:5" x14ac:dyDescent="0.3">
      <c r="E392" s="2"/>
    </row>
    <row r="393" spans="5:5" x14ac:dyDescent="0.3">
      <c r="E393" s="2"/>
    </row>
    <row r="394" spans="5:5" x14ac:dyDescent="0.3">
      <c r="E394" s="2"/>
    </row>
    <row r="395" spans="5:5" x14ac:dyDescent="0.3">
      <c r="E395" s="2"/>
    </row>
    <row r="396" spans="5:5" x14ac:dyDescent="0.3">
      <c r="E396" s="2"/>
    </row>
    <row r="397" spans="5:5" x14ac:dyDescent="0.3">
      <c r="E397" s="2"/>
    </row>
    <row r="398" spans="5:5" x14ac:dyDescent="0.3">
      <c r="E398" s="2"/>
    </row>
    <row r="399" spans="5:5" x14ac:dyDescent="0.3">
      <c r="E399" s="2"/>
    </row>
    <row r="400" spans="5:5" x14ac:dyDescent="0.3">
      <c r="E400" s="2"/>
    </row>
    <row r="401" spans="5:5" x14ac:dyDescent="0.3">
      <c r="E401" s="2"/>
    </row>
    <row r="402" spans="5:5" x14ac:dyDescent="0.3">
      <c r="E402" s="2"/>
    </row>
    <row r="403" spans="5:5" x14ac:dyDescent="0.3">
      <c r="E403" s="2"/>
    </row>
    <row r="404" spans="5:5" x14ac:dyDescent="0.3">
      <c r="E404" s="2"/>
    </row>
    <row r="405" spans="5:5" x14ac:dyDescent="0.3">
      <c r="E405" s="2"/>
    </row>
    <row r="406" spans="5:5" x14ac:dyDescent="0.3">
      <c r="E406" s="2"/>
    </row>
    <row r="407" spans="5:5" x14ac:dyDescent="0.3">
      <c r="E407" s="2"/>
    </row>
    <row r="408" spans="5:5" x14ac:dyDescent="0.3">
      <c r="E408" s="2"/>
    </row>
    <row r="409" spans="5:5" x14ac:dyDescent="0.3">
      <c r="E409" s="2"/>
    </row>
    <row r="410" spans="5:5" x14ac:dyDescent="0.3">
      <c r="E410" s="2"/>
    </row>
    <row r="411" spans="5:5" x14ac:dyDescent="0.3">
      <c r="E411" s="2"/>
    </row>
    <row r="412" spans="5:5" x14ac:dyDescent="0.3">
      <c r="E412" s="2"/>
    </row>
    <row r="413" spans="5:5" x14ac:dyDescent="0.3">
      <c r="E413" s="2"/>
    </row>
    <row r="414" spans="5:5" x14ac:dyDescent="0.3">
      <c r="E414" s="2"/>
    </row>
    <row r="415" spans="5:5" x14ac:dyDescent="0.3">
      <c r="E415" s="2"/>
    </row>
    <row r="416" spans="5:5" x14ac:dyDescent="0.3">
      <c r="E416" s="2"/>
    </row>
    <row r="417" spans="5:5" x14ac:dyDescent="0.3">
      <c r="E417" s="2"/>
    </row>
    <row r="418" spans="5:5" x14ac:dyDescent="0.3">
      <c r="E418" s="2"/>
    </row>
    <row r="419" spans="5:5" x14ac:dyDescent="0.3">
      <c r="E419" s="2"/>
    </row>
    <row r="420" spans="5:5" x14ac:dyDescent="0.3">
      <c r="E420" s="2"/>
    </row>
    <row r="421" spans="5:5" x14ac:dyDescent="0.3">
      <c r="E421" s="2"/>
    </row>
    <row r="422" spans="5:5" x14ac:dyDescent="0.3">
      <c r="E422" s="2"/>
    </row>
    <row r="423" spans="5:5" x14ac:dyDescent="0.3">
      <c r="E423" s="2"/>
    </row>
    <row r="424" spans="5:5" x14ac:dyDescent="0.3">
      <c r="E424" s="2"/>
    </row>
    <row r="425" spans="5:5" x14ac:dyDescent="0.3">
      <c r="E425" s="2"/>
    </row>
    <row r="426" spans="5:5" x14ac:dyDescent="0.3">
      <c r="E426" s="2"/>
    </row>
    <row r="427" spans="5:5" x14ac:dyDescent="0.3">
      <c r="E427" s="2"/>
    </row>
    <row r="428" spans="5:5" x14ac:dyDescent="0.3">
      <c r="E428" s="2"/>
    </row>
    <row r="429" spans="5:5" x14ac:dyDescent="0.3">
      <c r="E429" s="2"/>
    </row>
    <row r="430" spans="5:5" x14ac:dyDescent="0.3">
      <c r="E430" s="2"/>
    </row>
    <row r="431" spans="5:5" x14ac:dyDescent="0.3">
      <c r="E431" s="2"/>
    </row>
    <row r="432" spans="5:5" x14ac:dyDescent="0.3">
      <c r="E432" s="2"/>
    </row>
    <row r="433" spans="5:5" x14ac:dyDescent="0.3">
      <c r="E433" s="2"/>
    </row>
    <row r="434" spans="5:5" x14ac:dyDescent="0.3">
      <c r="E434" s="2"/>
    </row>
    <row r="435" spans="5:5" x14ac:dyDescent="0.3">
      <c r="E435" s="2"/>
    </row>
    <row r="436" spans="5:5" x14ac:dyDescent="0.3">
      <c r="E436" s="2"/>
    </row>
    <row r="437" spans="5:5" x14ac:dyDescent="0.3">
      <c r="E437" s="2"/>
    </row>
    <row r="438" spans="5:5" x14ac:dyDescent="0.3">
      <c r="E438" s="2"/>
    </row>
    <row r="439" spans="5:5" x14ac:dyDescent="0.3">
      <c r="E439" s="2"/>
    </row>
    <row r="440" spans="5:5" x14ac:dyDescent="0.3">
      <c r="E440" s="2"/>
    </row>
    <row r="441" spans="5:5" x14ac:dyDescent="0.3">
      <c r="E441" s="2"/>
    </row>
    <row r="442" spans="5:5" x14ac:dyDescent="0.3">
      <c r="E442" s="2"/>
    </row>
    <row r="443" spans="5:5" x14ac:dyDescent="0.3">
      <c r="E443" s="2"/>
    </row>
    <row r="444" spans="5:5" x14ac:dyDescent="0.3">
      <c r="E444" s="2"/>
    </row>
    <row r="445" spans="5:5" x14ac:dyDescent="0.3">
      <c r="E445" s="2"/>
    </row>
    <row r="446" spans="5:5" x14ac:dyDescent="0.3">
      <c r="E446" s="2"/>
    </row>
    <row r="447" spans="5:5" x14ac:dyDescent="0.3">
      <c r="E447" s="2"/>
    </row>
    <row r="448" spans="5:5" x14ac:dyDescent="0.3">
      <c r="E448" s="2"/>
    </row>
    <row r="449" spans="5:5" x14ac:dyDescent="0.3">
      <c r="E449" s="2"/>
    </row>
    <row r="450" spans="5:5" x14ac:dyDescent="0.3">
      <c r="E450" s="2"/>
    </row>
    <row r="451" spans="5:5" x14ac:dyDescent="0.3">
      <c r="E451" s="2"/>
    </row>
    <row r="452" spans="5:5" x14ac:dyDescent="0.3">
      <c r="E452" s="2"/>
    </row>
    <row r="453" spans="5:5" x14ac:dyDescent="0.3">
      <c r="E453" s="2"/>
    </row>
    <row r="454" spans="5:5" x14ac:dyDescent="0.3">
      <c r="E454" s="2"/>
    </row>
    <row r="455" spans="5:5" x14ac:dyDescent="0.3">
      <c r="E455" s="2"/>
    </row>
    <row r="456" spans="5:5" x14ac:dyDescent="0.3">
      <c r="E456" s="2"/>
    </row>
    <row r="457" spans="5:5" x14ac:dyDescent="0.3">
      <c r="E457" s="2"/>
    </row>
    <row r="458" spans="5:5" x14ac:dyDescent="0.3">
      <c r="E458" s="2"/>
    </row>
    <row r="459" spans="5:5" x14ac:dyDescent="0.3">
      <c r="E459" s="2"/>
    </row>
    <row r="460" spans="5:5" x14ac:dyDescent="0.3">
      <c r="E460" s="2"/>
    </row>
    <row r="461" spans="5:5" x14ac:dyDescent="0.3">
      <c r="E461" s="2"/>
    </row>
    <row r="462" spans="5:5" x14ac:dyDescent="0.3">
      <c r="E462" s="2"/>
    </row>
    <row r="463" spans="5:5" x14ac:dyDescent="0.3">
      <c r="E463" s="2"/>
    </row>
    <row r="464" spans="5:5" x14ac:dyDescent="0.3">
      <c r="E464" s="2"/>
    </row>
    <row r="465" spans="5:5" x14ac:dyDescent="0.3">
      <c r="E465" s="2"/>
    </row>
    <row r="466" spans="5:5" x14ac:dyDescent="0.3">
      <c r="E466" s="2"/>
    </row>
    <row r="467" spans="5:5" x14ac:dyDescent="0.3">
      <c r="E467" s="2"/>
    </row>
    <row r="468" spans="5:5" x14ac:dyDescent="0.3">
      <c r="E468" s="2"/>
    </row>
    <row r="469" spans="5:5" x14ac:dyDescent="0.3">
      <c r="E469" s="2"/>
    </row>
    <row r="470" spans="5:5" x14ac:dyDescent="0.3">
      <c r="E470" s="2"/>
    </row>
    <row r="471" spans="5:5" x14ac:dyDescent="0.3">
      <c r="E471" s="2"/>
    </row>
    <row r="472" spans="5:5" x14ac:dyDescent="0.3">
      <c r="E472" s="2"/>
    </row>
    <row r="473" spans="5:5" x14ac:dyDescent="0.3">
      <c r="E473" s="2"/>
    </row>
    <row r="474" spans="5:5" x14ac:dyDescent="0.3">
      <c r="E474" s="2"/>
    </row>
    <row r="475" spans="5:5" x14ac:dyDescent="0.3">
      <c r="E475" s="2"/>
    </row>
    <row r="476" spans="5:5" x14ac:dyDescent="0.3">
      <c r="E476" s="2"/>
    </row>
    <row r="477" spans="5:5" x14ac:dyDescent="0.3">
      <c r="E477" s="2"/>
    </row>
    <row r="478" spans="5:5" x14ac:dyDescent="0.3">
      <c r="E478" s="2"/>
    </row>
    <row r="479" spans="5:5" x14ac:dyDescent="0.3">
      <c r="E479" s="2"/>
    </row>
    <row r="480" spans="5:5" x14ac:dyDescent="0.3">
      <c r="E480" s="2"/>
    </row>
    <row r="481" spans="5:5" x14ac:dyDescent="0.3">
      <c r="E481" s="2"/>
    </row>
    <row r="482" spans="5:5" x14ac:dyDescent="0.3">
      <c r="E482" s="2"/>
    </row>
    <row r="483" spans="5:5" x14ac:dyDescent="0.3">
      <c r="E483" s="2"/>
    </row>
    <row r="484" spans="5:5" x14ac:dyDescent="0.3">
      <c r="E484" s="2"/>
    </row>
    <row r="485" spans="5:5" x14ac:dyDescent="0.3">
      <c r="E485" s="2"/>
    </row>
    <row r="486" spans="5:5" x14ac:dyDescent="0.3">
      <c r="E486" s="2"/>
    </row>
    <row r="487" spans="5:5" x14ac:dyDescent="0.3">
      <c r="E487" s="2"/>
    </row>
    <row r="488" spans="5:5" x14ac:dyDescent="0.3">
      <c r="E488" s="2"/>
    </row>
    <row r="489" spans="5:5" x14ac:dyDescent="0.3">
      <c r="E489" s="2"/>
    </row>
    <row r="490" spans="5:5" x14ac:dyDescent="0.3">
      <c r="E490" s="2"/>
    </row>
    <row r="491" spans="5:5" x14ac:dyDescent="0.3">
      <c r="E491" s="2"/>
    </row>
    <row r="492" spans="5:5" x14ac:dyDescent="0.3">
      <c r="E492" s="2"/>
    </row>
    <row r="493" spans="5:5" x14ac:dyDescent="0.3">
      <c r="E493" s="2"/>
    </row>
    <row r="494" spans="5:5" x14ac:dyDescent="0.3">
      <c r="E494" s="2"/>
    </row>
    <row r="495" spans="5:5" x14ac:dyDescent="0.3">
      <c r="E495" s="2"/>
    </row>
    <row r="496" spans="5:5" x14ac:dyDescent="0.3">
      <c r="E496" s="2"/>
    </row>
    <row r="497" spans="5:5" x14ac:dyDescent="0.3">
      <c r="E497" s="2"/>
    </row>
    <row r="498" spans="5:5" x14ac:dyDescent="0.3">
      <c r="E498" s="2"/>
    </row>
    <row r="499" spans="5:5" x14ac:dyDescent="0.3">
      <c r="E499" s="2"/>
    </row>
    <row r="500" spans="5:5" x14ac:dyDescent="0.3">
      <c r="E500" s="2"/>
    </row>
    <row r="501" spans="5:5" x14ac:dyDescent="0.3">
      <c r="E501" s="2"/>
    </row>
    <row r="502" spans="5:5" x14ac:dyDescent="0.3">
      <c r="E502" s="2"/>
    </row>
    <row r="503" spans="5:5" x14ac:dyDescent="0.3">
      <c r="E503" s="2"/>
    </row>
    <row r="504" spans="5:5" x14ac:dyDescent="0.3">
      <c r="E504" s="2"/>
    </row>
    <row r="505" spans="5:5" x14ac:dyDescent="0.3">
      <c r="E505" s="2"/>
    </row>
    <row r="506" spans="5:5" x14ac:dyDescent="0.3">
      <c r="E506" s="2"/>
    </row>
    <row r="507" spans="5:5" x14ac:dyDescent="0.3">
      <c r="E507" s="2"/>
    </row>
    <row r="508" spans="5:5" x14ac:dyDescent="0.3">
      <c r="E508" s="2"/>
    </row>
    <row r="509" spans="5:5" x14ac:dyDescent="0.3">
      <c r="E509" s="2"/>
    </row>
    <row r="510" spans="5:5" x14ac:dyDescent="0.3">
      <c r="E510" s="2"/>
    </row>
    <row r="511" spans="5:5" x14ac:dyDescent="0.3">
      <c r="E511" s="2"/>
    </row>
    <row r="512" spans="5:5" x14ac:dyDescent="0.3">
      <c r="E512" s="2"/>
    </row>
    <row r="513" spans="5:5" x14ac:dyDescent="0.3">
      <c r="E513" s="2"/>
    </row>
    <row r="514" spans="5:5" x14ac:dyDescent="0.3">
      <c r="E514" s="2"/>
    </row>
    <row r="515" spans="5:5" x14ac:dyDescent="0.3">
      <c r="E515" s="2"/>
    </row>
    <row r="516" spans="5:5" x14ac:dyDescent="0.3">
      <c r="E516" s="2"/>
    </row>
    <row r="517" spans="5:5" x14ac:dyDescent="0.3">
      <c r="E517" s="2"/>
    </row>
    <row r="518" spans="5:5" x14ac:dyDescent="0.3">
      <c r="E518" s="2"/>
    </row>
    <row r="519" spans="5:5" x14ac:dyDescent="0.3">
      <c r="E519" s="2"/>
    </row>
    <row r="520" spans="5:5" x14ac:dyDescent="0.3">
      <c r="E520" s="2"/>
    </row>
    <row r="521" spans="5:5" x14ac:dyDescent="0.3">
      <c r="E521" s="2"/>
    </row>
    <row r="522" spans="5:5" x14ac:dyDescent="0.3">
      <c r="E522" s="2"/>
    </row>
    <row r="523" spans="5:5" x14ac:dyDescent="0.3">
      <c r="E523" s="2"/>
    </row>
    <row r="524" spans="5:5" x14ac:dyDescent="0.3">
      <c r="E524" s="2"/>
    </row>
    <row r="525" spans="5:5" x14ac:dyDescent="0.3">
      <c r="E525" s="2"/>
    </row>
    <row r="526" spans="5:5" x14ac:dyDescent="0.3">
      <c r="E526" s="2"/>
    </row>
    <row r="527" spans="5:5" x14ac:dyDescent="0.3">
      <c r="E527" s="2"/>
    </row>
    <row r="528" spans="5:5" x14ac:dyDescent="0.3">
      <c r="E528" s="2"/>
    </row>
    <row r="529" spans="5:5" x14ac:dyDescent="0.3">
      <c r="E529" s="2"/>
    </row>
    <row r="530" spans="5:5" x14ac:dyDescent="0.3">
      <c r="E530" s="2"/>
    </row>
    <row r="531" spans="5:5" x14ac:dyDescent="0.3">
      <c r="E531" s="2"/>
    </row>
    <row r="532" spans="5:5" x14ac:dyDescent="0.3">
      <c r="E532" s="2"/>
    </row>
    <row r="533" spans="5:5" x14ac:dyDescent="0.3">
      <c r="E533" s="2"/>
    </row>
    <row r="534" spans="5:5" x14ac:dyDescent="0.3">
      <c r="E534" s="2"/>
    </row>
    <row r="535" spans="5:5" x14ac:dyDescent="0.3">
      <c r="E535" s="2"/>
    </row>
    <row r="536" spans="5:5" x14ac:dyDescent="0.3">
      <c r="E536" s="2"/>
    </row>
    <row r="537" spans="5:5" x14ac:dyDescent="0.3">
      <c r="E537" s="2"/>
    </row>
    <row r="538" spans="5:5" x14ac:dyDescent="0.3">
      <c r="E538" s="2"/>
    </row>
    <row r="539" spans="5:5" x14ac:dyDescent="0.3">
      <c r="E539" s="2"/>
    </row>
    <row r="540" spans="5:5" x14ac:dyDescent="0.3">
      <c r="E540" s="2"/>
    </row>
    <row r="541" spans="5:5" x14ac:dyDescent="0.3">
      <c r="E541" s="2"/>
    </row>
    <row r="542" spans="5:5" x14ac:dyDescent="0.3">
      <c r="E542" s="2"/>
    </row>
    <row r="543" spans="5:5" x14ac:dyDescent="0.3">
      <c r="E543" s="2"/>
    </row>
    <row r="544" spans="5:5" x14ac:dyDescent="0.3">
      <c r="E544" s="2"/>
    </row>
    <row r="545" spans="5:5" x14ac:dyDescent="0.3">
      <c r="E545" s="2"/>
    </row>
    <row r="546" spans="5:5" x14ac:dyDescent="0.3">
      <c r="E546" s="2"/>
    </row>
    <row r="547" spans="5:5" x14ac:dyDescent="0.3">
      <c r="E547" s="2"/>
    </row>
    <row r="548" spans="5:5" x14ac:dyDescent="0.3">
      <c r="E548" s="2"/>
    </row>
    <row r="549" spans="5:5" x14ac:dyDescent="0.3">
      <c r="E549" s="2"/>
    </row>
    <row r="550" spans="5:5" x14ac:dyDescent="0.3">
      <c r="E550" s="2"/>
    </row>
    <row r="551" spans="5:5" x14ac:dyDescent="0.3">
      <c r="E551" s="2"/>
    </row>
    <row r="552" spans="5:5" x14ac:dyDescent="0.3">
      <c r="E552" s="2"/>
    </row>
    <row r="553" spans="5:5" x14ac:dyDescent="0.3">
      <c r="E553" s="2"/>
    </row>
    <row r="554" spans="5:5" x14ac:dyDescent="0.3">
      <c r="E554" s="2"/>
    </row>
    <row r="555" spans="5:5" x14ac:dyDescent="0.3">
      <c r="E555" s="2"/>
    </row>
    <row r="556" spans="5:5" x14ac:dyDescent="0.3">
      <c r="E556" s="2"/>
    </row>
    <row r="557" spans="5:5" x14ac:dyDescent="0.3">
      <c r="E557" s="2"/>
    </row>
    <row r="558" spans="5:5" x14ac:dyDescent="0.3">
      <c r="E558" s="2"/>
    </row>
    <row r="559" spans="5:5" x14ac:dyDescent="0.3">
      <c r="E559" s="2"/>
    </row>
    <row r="560" spans="5:5" x14ac:dyDescent="0.3">
      <c r="E560" s="2"/>
    </row>
    <row r="561" spans="5:5" x14ac:dyDescent="0.3">
      <c r="E561" s="2"/>
    </row>
    <row r="562" spans="5:5" x14ac:dyDescent="0.3">
      <c r="E562" s="2"/>
    </row>
    <row r="563" spans="5:5" x14ac:dyDescent="0.3">
      <c r="E563" s="2"/>
    </row>
    <row r="564" spans="5:5" x14ac:dyDescent="0.3">
      <c r="E564" s="2"/>
    </row>
    <row r="565" spans="5:5" x14ac:dyDescent="0.3">
      <c r="E565" s="2"/>
    </row>
    <row r="566" spans="5:5" x14ac:dyDescent="0.3">
      <c r="E566" s="2"/>
    </row>
    <row r="567" spans="5:5" x14ac:dyDescent="0.3">
      <c r="E567" s="2"/>
    </row>
    <row r="568" spans="5:5" x14ac:dyDescent="0.3">
      <c r="E568" s="2"/>
    </row>
    <row r="569" spans="5:5" x14ac:dyDescent="0.3">
      <c r="E569" s="2"/>
    </row>
    <row r="570" spans="5:5" x14ac:dyDescent="0.3">
      <c r="E570" s="2"/>
    </row>
    <row r="571" spans="5:5" x14ac:dyDescent="0.3">
      <c r="E571" s="2"/>
    </row>
    <row r="572" spans="5:5" x14ac:dyDescent="0.3">
      <c r="E572" s="2"/>
    </row>
    <row r="573" spans="5:5" x14ac:dyDescent="0.3">
      <c r="E573" s="2"/>
    </row>
    <row r="574" spans="5:5" x14ac:dyDescent="0.3">
      <c r="E574" s="2"/>
    </row>
    <row r="575" spans="5:5" x14ac:dyDescent="0.3">
      <c r="E575" s="2"/>
    </row>
    <row r="576" spans="5:5" x14ac:dyDescent="0.3">
      <c r="E576" s="2"/>
    </row>
    <row r="577" spans="5:5" x14ac:dyDescent="0.3">
      <c r="E577" s="2"/>
    </row>
    <row r="578" spans="5:5" x14ac:dyDescent="0.3">
      <c r="E578" s="2"/>
    </row>
    <row r="579" spans="5:5" x14ac:dyDescent="0.3">
      <c r="E579" s="2"/>
    </row>
    <row r="580" spans="5:5" x14ac:dyDescent="0.3">
      <c r="E580" s="2"/>
    </row>
    <row r="581" spans="5:5" x14ac:dyDescent="0.3">
      <c r="E581" s="2"/>
    </row>
    <row r="582" spans="5:5" x14ac:dyDescent="0.3">
      <c r="E582" s="2"/>
    </row>
    <row r="583" spans="5:5" x14ac:dyDescent="0.3">
      <c r="E583" s="2"/>
    </row>
    <row r="584" spans="5:5" x14ac:dyDescent="0.3">
      <c r="E584" s="2"/>
    </row>
    <row r="585" spans="5:5" x14ac:dyDescent="0.3">
      <c r="E585" s="2"/>
    </row>
    <row r="586" spans="5:5" x14ac:dyDescent="0.3">
      <c r="E586" s="2"/>
    </row>
    <row r="587" spans="5:5" x14ac:dyDescent="0.3">
      <c r="E587" s="2"/>
    </row>
    <row r="588" spans="5:5" x14ac:dyDescent="0.3">
      <c r="E588" s="2"/>
    </row>
    <row r="589" spans="5:5" x14ac:dyDescent="0.3">
      <c r="E589" s="2"/>
    </row>
    <row r="590" spans="5:5" x14ac:dyDescent="0.3">
      <c r="E590" s="2"/>
    </row>
    <row r="591" spans="5:5" x14ac:dyDescent="0.3">
      <c r="E591" s="2"/>
    </row>
    <row r="592" spans="5:5" x14ac:dyDescent="0.3">
      <c r="E592" s="2"/>
    </row>
    <row r="593" spans="5:5" x14ac:dyDescent="0.3">
      <c r="E593" s="2"/>
    </row>
    <row r="594" spans="5:5" x14ac:dyDescent="0.3">
      <c r="E594" s="2"/>
    </row>
    <row r="595" spans="5:5" x14ac:dyDescent="0.3">
      <c r="E595" s="2"/>
    </row>
    <row r="596" spans="5:5" x14ac:dyDescent="0.3">
      <c r="E596" s="2"/>
    </row>
    <row r="597" spans="5:5" x14ac:dyDescent="0.3">
      <c r="E597" s="2"/>
    </row>
    <row r="598" spans="5:5" x14ac:dyDescent="0.3">
      <c r="E598" s="2"/>
    </row>
    <row r="599" spans="5:5" x14ac:dyDescent="0.3">
      <c r="E599" s="2"/>
    </row>
    <row r="600" spans="5:5" x14ac:dyDescent="0.3">
      <c r="E600" s="2"/>
    </row>
    <row r="601" spans="5:5" x14ac:dyDescent="0.3">
      <c r="E601" s="2"/>
    </row>
    <row r="602" spans="5:5" x14ac:dyDescent="0.3">
      <c r="E602" s="2"/>
    </row>
    <row r="603" spans="5:5" x14ac:dyDescent="0.3">
      <c r="E603" s="2"/>
    </row>
    <row r="604" spans="5:5" x14ac:dyDescent="0.3">
      <c r="E604" s="2"/>
    </row>
    <row r="605" spans="5:5" x14ac:dyDescent="0.3">
      <c r="E605" s="2"/>
    </row>
    <row r="606" spans="5:5" x14ac:dyDescent="0.3">
      <c r="E606" s="2"/>
    </row>
    <row r="607" spans="5:5" x14ac:dyDescent="0.3">
      <c r="E607" s="2"/>
    </row>
    <row r="608" spans="5:5" x14ac:dyDescent="0.3">
      <c r="E608" s="2"/>
    </row>
    <row r="609" spans="5:5" x14ac:dyDescent="0.3">
      <c r="E609" s="2"/>
    </row>
    <row r="610" spans="5:5" x14ac:dyDescent="0.3">
      <c r="E610" s="2"/>
    </row>
    <row r="611" spans="5:5" x14ac:dyDescent="0.3">
      <c r="E611" s="2"/>
    </row>
    <row r="612" spans="5:5" x14ac:dyDescent="0.3">
      <c r="E612" s="2"/>
    </row>
    <row r="613" spans="5:5" x14ac:dyDescent="0.3">
      <c r="E613" s="2"/>
    </row>
    <row r="614" spans="5:5" x14ac:dyDescent="0.3">
      <c r="E614" s="2"/>
    </row>
    <row r="615" spans="5:5" x14ac:dyDescent="0.3">
      <c r="E615" s="2"/>
    </row>
    <row r="616" spans="5:5" x14ac:dyDescent="0.3">
      <c r="E616" s="2"/>
    </row>
    <row r="617" spans="5:5" x14ac:dyDescent="0.3">
      <c r="E617" s="2"/>
    </row>
    <row r="618" spans="5:5" x14ac:dyDescent="0.3">
      <c r="E618" s="2"/>
    </row>
    <row r="619" spans="5:5" x14ac:dyDescent="0.3">
      <c r="E619" s="2"/>
    </row>
    <row r="620" spans="5:5" x14ac:dyDescent="0.3">
      <c r="E620" s="2"/>
    </row>
    <row r="621" spans="5:5" x14ac:dyDescent="0.3">
      <c r="E621" s="2"/>
    </row>
    <row r="622" spans="5:5" x14ac:dyDescent="0.3">
      <c r="E622" s="2"/>
    </row>
    <row r="623" spans="5:5" x14ac:dyDescent="0.3">
      <c r="E623" s="2"/>
    </row>
    <row r="624" spans="5:5" x14ac:dyDescent="0.3">
      <c r="E624" s="2"/>
    </row>
    <row r="625" spans="5:5" x14ac:dyDescent="0.3">
      <c r="E625" s="2"/>
    </row>
    <row r="626" spans="5:5" x14ac:dyDescent="0.3">
      <c r="E626" s="2"/>
    </row>
    <row r="627" spans="5:5" x14ac:dyDescent="0.3">
      <c r="E627" s="2"/>
    </row>
    <row r="628" spans="5:5" x14ac:dyDescent="0.3">
      <c r="E628" s="2"/>
    </row>
    <row r="629" spans="5:5" x14ac:dyDescent="0.3">
      <c r="E629" s="2"/>
    </row>
    <row r="630" spans="5:5" x14ac:dyDescent="0.3">
      <c r="E630" s="2"/>
    </row>
    <row r="631" spans="5:5" x14ac:dyDescent="0.3">
      <c r="E631" s="2"/>
    </row>
    <row r="632" spans="5:5" x14ac:dyDescent="0.3">
      <c r="E632" s="2"/>
    </row>
    <row r="633" spans="5:5" x14ac:dyDescent="0.3">
      <c r="E633" s="2"/>
    </row>
    <row r="634" spans="5:5" x14ac:dyDescent="0.3">
      <c r="E634" s="2"/>
    </row>
    <row r="635" spans="5:5" x14ac:dyDescent="0.3">
      <c r="E635" s="2"/>
    </row>
    <row r="636" spans="5:5" x14ac:dyDescent="0.3">
      <c r="E636" s="2"/>
    </row>
    <row r="637" spans="5:5" x14ac:dyDescent="0.3">
      <c r="E637" s="2"/>
    </row>
    <row r="638" spans="5:5" x14ac:dyDescent="0.3">
      <c r="E638" s="2"/>
    </row>
    <row r="639" spans="5:5" x14ac:dyDescent="0.3">
      <c r="E639" s="2"/>
    </row>
    <row r="640" spans="5:5" x14ac:dyDescent="0.3">
      <c r="E640" s="2"/>
    </row>
    <row r="641" spans="5:5" x14ac:dyDescent="0.3">
      <c r="E641" s="2"/>
    </row>
    <row r="642" spans="5:5" x14ac:dyDescent="0.3">
      <c r="E642" s="2"/>
    </row>
    <row r="643" spans="5:5" x14ac:dyDescent="0.3">
      <c r="E643" s="2"/>
    </row>
    <row r="644" spans="5:5" x14ac:dyDescent="0.3">
      <c r="E644" s="2"/>
    </row>
    <row r="645" spans="5:5" x14ac:dyDescent="0.3">
      <c r="E645" s="2"/>
    </row>
    <row r="646" spans="5:5" x14ac:dyDescent="0.3">
      <c r="E646" s="2"/>
    </row>
    <row r="647" spans="5:5" x14ac:dyDescent="0.3">
      <c r="E647" s="2"/>
    </row>
    <row r="648" spans="5:5" x14ac:dyDescent="0.3">
      <c r="E648" s="2"/>
    </row>
    <row r="649" spans="5:5" x14ac:dyDescent="0.3">
      <c r="E649" s="2"/>
    </row>
    <row r="650" spans="5:5" x14ac:dyDescent="0.3">
      <c r="E650" s="2"/>
    </row>
    <row r="651" spans="5:5" x14ac:dyDescent="0.3">
      <c r="E651" s="2"/>
    </row>
    <row r="652" spans="5:5" x14ac:dyDescent="0.3">
      <c r="E652" s="2"/>
    </row>
    <row r="653" spans="5:5" x14ac:dyDescent="0.3">
      <c r="E653" s="2"/>
    </row>
    <row r="654" spans="5:5" x14ac:dyDescent="0.3">
      <c r="E654" s="2"/>
    </row>
    <row r="655" spans="5:5" x14ac:dyDescent="0.3">
      <c r="E655" s="2"/>
    </row>
    <row r="656" spans="5:5" x14ac:dyDescent="0.3">
      <c r="E656" s="2"/>
    </row>
    <row r="657" spans="5:5" x14ac:dyDescent="0.3">
      <c r="E657" s="2"/>
    </row>
    <row r="658" spans="5:5" x14ac:dyDescent="0.3">
      <c r="E658" s="2"/>
    </row>
    <row r="659" spans="5:5" x14ac:dyDescent="0.3">
      <c r="E659" s="2"/>
    </row>
    <row r="660" spans="5:5" x14ac:dyDescent="0.3">
      <c r="E660" s="2"/>
    </row>
    <row r="661" spans="5:5" x14ac:dyDescent="0.3">
      <c r="E661" s="2"/>
    </row>
    <row r="662" spans="5:5" x14ac:dyDescent="0.3">
      <c r="E662" s="2"/>
    </row>
    <row r="663" spans="5:5" x14ac:dyDescent="0.3">
      <c r="E663" s="2"/>
    </row>
    <row r="664" spans="5:5" x14ac:dyDescent="0.3">
      <c r="E664" s="2"/>
    </row>
    <row r="665" spans="5:5" x14ac:dyDescent="0.3">
      <c r="E665" s="2"/>
    </row>
    <row r="666" spans="5:5" x14ac:dyDescent="0.3">
      <c r="E666" s="2"/>
    </row>
    <row r="667" spans="5:5" x14ac:dyDescent="0.3">
      <c r="E667" s="2"/>
    </row>
    <row r="668" spans="5:5" x14ac:dyDescent="0.3">
      <c r="E668" s="2"/>
    </row>
    <row r="669" spans="5:5" x14ac:dyDescent="0.3">
      <c r="E669" s="2"/>
    </row>
    <row r="670" spans="5:5" x14ac:dyDescent="0.3">
      <c r="E670" s="2"/>
    </row>
    <row r="671" spans="5:5" x14ac:dyDescent="0.3">
      <c r="E671" s="2"/>
    </row>
    <row r="672" spans="5:5" x14ac:dyDescent="0.3">
      <c r="E672" s="2"/>
    </row>
    <row r="673" spans="5:5" x14ac:dyDescent="0.3">
      <c r="E673" s="2"/>
    </row>
    <row r="674" spans="5:5" x14ac:dyDescent="0.3">
      <c r="E674" s="2"/>
    </row>
    <row r="675" spans="5:5" x14ac:dyDescent="0.3">
      <c r="E675" s="2"/>
    </row>
    <row r="676" spans="5:5" x14ac:dyDescent="0.3">
      <c r="E676" s="2"/>
    </row>
    <row r="677" spans="5:5" x14ac:dyDescent="0.3">
      <c r="E677" s="2"/>
    </row>
    <row r="678" spans="5:5" x14ac:dyDescent="0.3">
      <c r="E678" s="2"/>
    </row>
    <row r="679" spans="5:5" x14ac:dyDescent="0.3">
      <c r="E679" s="2"/>
    </row>
    <row r="680" spans="5:5" x14ac:dyDescent="0.3">
      <c r="E680" s="2"/>
    </row>
    <row r="681" spans="5:5" x14ac:dyDescent="0.3">
      <c r="E681" s="2"/>
    </row>
    <row r="682" spans="5:5" x14ac:dyDescent="0.3">
      <c r="E682" s="2"/>
    </row>
    <row r="683" spans="5:5" x14ac:dyDescent="0.3">
      <c r="E683" s="2"/>
    </row>
    <row r="684" spans="5:5" x14ac:dyDescent="0.3">
      <c r="E684" s="2"/>
    </row>
    <row r="685" spans="5:5" x14ac:dyDescent="0.3">
      <c r="E685" s="2"/>
    </row>
    <row r="686" spans="5:5" x14ac:dyDescent="0.3">
      <c r="E686" s="2"/>
    </row>
    <row r="687" spans="5:5" x14ac:dyDescent="0.3">
      <c r="E687" s="2"/>
    </row>
    <row r="688" spans="5:5" x14ac:dyDescent="0.3">
      <c r="E688" s="2"/>
    </row>
    <row r="689" spans="5:5" x14ac:dyDescent="0.3">
      <c r="E689" s="2"/>
    </row>
    <row r="690" spans="5:5" x14ac:dyDescent="0.3">
      <c r="E690" s="2"/>
    </row>
    <row r="691" spans="5:5" x14ac:dyDescent="0.3">
      <c r="E691" s="2"/>
    </row>
    <row r="692" spans="5:5" x14ac:dyDescent="0.3">
      <c r="E692" s="2"/>
    </row>
    <row r="693" spans="5:5" x14ac:dyDescent="0.3">
      <c r="E693" s="2"/>
    </row>
    <row r="694" spans="5:5" x14ac:dyDescent="0.3">
      <c r="E694" s="2"/>
    </row>
    <row r="695" spans="5:5" x14ac:dyDescent="0.3">
      <c r="E695" s="2"/>
    </row>
    <row r="696" spans="5:5" x14ac:dyDescent="0.3">
      <c r="E696" s="2"/>
    </row>
    <row r="697" spans="5:5" x14ac:dyDescent="0.3">
      <c r="E697" s="2"/>
    </row>
    <row r="698" spans="5:5" x14ac:dyDescent="0.3">
      <c r="E698" s="2"/>
    </row>
    <row r="699" spans="5:5" x14ac:dyDescent="0.3">
      <c r="E699" s="2"/>
    </row>
    <row r="700" spans="5:5" x14ac:dyDescent="0.3">
      <c r="E700" s="2"/>
    </row>
    <row r="701" spans="5:5" x14ac:dyDescent="0.3">
      <c r="E701" s="2"/>
    </row>
    <row r="702" spans="5:5" x14ac:dyDescent="0.3">
      <c r="E702" s="2"/>
    </row>
    <row r="703" spans="5:5" x14ac:dyDescent="0.3">
      <c r="E703" s="2"/>
    </row>
    <row r="704" spans="5:5" x14ac:dyDescent="0.3">
      <c r="E704" s="2"/>
    </row>
    <row r="705" spans="5:5" x14ac:dyDescent="0.3">
      <c r="E705" s="2"/>
    </row>
    <row r="706" spans="5:5" x14ac:dyDescent="0.3">
      <c r="E706" s="2"/>
    </row>
    <row r="707" spans="5:5" x14ac:dyDescent="0.3">
      <c r="E707" s="2"/>
    </row>
    <row r="708" spans="5:5" x14ac:dyDescent="0.3">
      <c r="E708" s="2"/>
    </row>
    <row r="709" spans="5:5" x14ac:dyDescent="0.3">
      <c r="E709" s="2"/>
    </row>
    <row r="710" spans="5:5" x14ac:dyDescent="0.3">
      <c r="E710" s="2"/>
    </row>
    <row r="711" spans="5:5" x14ac:dyDescent="0.3">
      <c r="E711" s="2"/>
    </row>
    <row r="712" spans="5:5" x14ac:dyDescent="0.3">
      <c r="E712" s="2"/>
    </row>
    <row r="713" spans="5:5" x14ac:dyDescent="0.3">
      <c r="E713" s="2"/>
    </row>
    <row r="714" spans="5:5" x14ac:dyDescent="0.3">
      <c r="E714" s="2"/>
    </row>
    <row r="715" spans="5:5" x14ac:dyDescent="0.3">
      <c r="E715" s="2"/>
    </row>
    <row r="716" spans="5:5" x14ac:dyDescent="0.3">
      <c r="E716" s="2"/>
    </row>
    <row r="717" spans="5:5" x14ac:dyDescent="0.3">
      <c r="E717" s="2"/>
    </row>
    <row r="718" spans="5:5" x14ac:dyDescent="0.3">
      <c r="E718" s="2"/>
    </row>
    <row r="719" spans="5:5" x14ac:dyDescent="0.3">
      <c r="E719" s="2"/>
    </row>
    <row r="720" spans="5:5" x14ac:dyDescent="0.3">
      <c r="E720" s="2"/>
    </row>
    <row r="721" spans="5:5" x14ac:dyDescent="0.3">
      <c r="E721" s="2"/>
    </row>
    <row r="722" spans="5:5" x14ac:dyDescent="0.3">
      <c r="E722" s="2"/>
    </row>
    <row r="723" spans="5:5" x14ac:dyDescent="0.3">
      <c r="E723" s="2"/>
    </row>
    <row r="724" spans="5:5" x14ac:dyDescent="0.3">
      <c r="E724" s="2"/>
    </row>
    <row r="725" spans="5:5" x14ac:dyDescent="0.3">
      <c r="E725" s="2"/>
    </row>
    <row r="726" spans="5:5" x14ac:dyDescent="0.3">
      <c r="E726" s="2"/>
    </row>
    <row r="727" spans="5:5" x14ac:dyDescent="0.3">
      <c r="E727" s="2"/>
    </row>
    <row r="728" spans="5:5" x14ac:dyDescent="0.3">
      <c r="E728" s="2"/>
    </row>
    <row r="729" spans="5:5" x14ac:dyDescent="0.3">
      <c r="E729" s="2"/>
    </row>
    <row r="730" spans="5:5" x14ac:dyDescent="0.3">
      <c r="E730" s="2"/>
    </row>
    <row r="731" spans="5:5" x14ac:dyDescent="0.3">
      <c r="E731" s="2"/>
    </row>
    <row r="732" spans="5:5" x14ac:dyDescent="0.3">
      <c r="E732" s="2"/>
    </row>
    <row r="733" spans="5:5" x14ac:dyDescent="0.3">
      <c r="E733" s="2"/>
    </row>
    <row r="734" spans="5:5" x14ac:dyDescent="0.3">
      <c r="E734" s="2"/>
    </row>
    <row r="735" spans="5:5" x14ac:dyDescent="0.3">
      <c r="E735" s="2"/>
    </row>
    <row r="736" spans="5:5" x14ac:dyDescent="0.3">
      <c r="E736" s="2"/>
    </row>
    <row r="737" spans="5:5" x14ac:dyDescent="0.3">
      <c r="E737" s="2"/>
    </row>
    <row r="738" spans="5:5" x14ac:dyDescent="0.3">
      <c r="E738" s="2"/>
    </row>
    <row r="739" spans="5:5" x14ac:dyDescent="0.3">
      <c r="E739" s="2"/>
    </row>
    <row r="740" spans="5:5" x14ac:dyDescent="0.3">
      <c r="E740" s="2"/>
    </row>
    <row r="741" spans="5:5" x14ac:dyDescent="0.3">
      <c r="E741" s="2"/>
    </row>
    <row r="742" spans="5:5" x14ac:dyDescent="0.3">
      <c r="E742" s="2"/>
    </row>
    <row r="743" spans="5:5" x14ac:dyDescent="0.3">
      <c r="E743" s="2"/>
    </row>
    <row r="744" spans="5:5" x14ac:dyDescent="0.3">
      <c r="E744" s="2"/>
    </row>
    <row r="745" spans="5:5" x14ac:dyDescent="0.3">
      <c r="E745" s="2"/>
    </row>
    <row r="746" spans="5:5" x14ac:dyDescent="0.3">
      <c r="E746" s="2"/>
    </row>
    <row r="747" spans="5:5" x14ac:dyDescent="0.3">
      <c r="E747" s="2"/>
    </row>
    <row r="748" spans="5:5" x14ac:dyDescent="0.3">
      <c r="E748" s="2"/>
    </row>
    <row r="749" spans="5:5" x14ac:dyDescent="0.3">
      <c r="E749" s="2"/>
    </row>
    <row r="750" spans="5:5" x14ac:dyDescent="0.3">
      <c r="E750" s="2"/>
    </row>
    <row r="751" spans="5:5" x14ac:dyDescent="0.3">
      <c r="E751" s="2"/>
    </row>
    <row r="752" spans="5:5" x14ac:dyDescent="0.3">
      <c r="E752" s="2"/>
    </row>
    <row r="753" spans="5:5" x14ac:dyDescent="0.3">
      <c r="E753" s="2"/>
    </row>
    <row r="754" spans="5:5" x14ac:dyDescent="0.3">
      <c r="E754" s="2"/>
    </row>
    <row r="755" spans="5:5" x14ac:dyDescent="0.3">
      <c r="E755" s="2"/>
    </row>
    <row r="756" spans="5:5" x14ac:dyDescent="0.3">
      <c r="E756" s="2"/>
    </row>
    <row r="757" spans="5:5" x14ac:dyDescent="0.3">
      <c r="E757" s="2"/>
    </row>
    <row r="758" spans="5:5" x14ac:dyDescent="0.3">
      <c r="E758" s="2"/>
    </row>
    <row r="759" spans="5:5" x14ac:dyDescent="0.3">
      <c r="E759" s="2"/>
    </row>
    <row r="760" spans="5:5" x14ac:dyDescent="0.3">
      <c r="E760" s="2"/>
    </row>
    <row r="761" spans="5:5" x14ac:dyDescent="0.3">
      <c r="E761" s="2"/>
    </row>
    <row r="762" spans="5:5" x14ac:dyDescent="0.3">
      <c r="E762" s="2"/>
    </row>
    <row r="763" spans="5:5" x14ac:dyDescent="0.3">
      <c r="E763" s="2"/>
    </row>
    <row r="764" spans="5:5" x14ac:dyDescent="0.3">
      <c r="E764" s="2"/>
    </row>
    <row r="765" spans="5:5" x14ac:dyDescent="0.3">
      <c r="E765" s="2"/>
    </row>
    <row r="766" spans="5:5" x14ac:dyDescent="0.3">
      <c r="E766" s="2"/>
    </row>
    <row r="767" spans="5:5" x14ac:dyDescent="0.3">
      <c r="E767" s="2"/>
    </row>
    <row r="768" spans="5:5" x14ac:dyDescent="0.3">
      <c r="E768" s="2"/>
    </row>
    <row r="769" spans="5:5" x14ac:dyDescent="0.3">
      <c r="E769" s="2"/>
    </row>
    <row r="770" spans="5:5" x14ac:dyDescent="0.3">
      <c r="E770" s="2"/>
    </row>
    <row r="771" spans="5:5" x14ac:dyDescent="0.3">
      <c r="E771" s="2"/>
    </row>
    <row r="772" spans="5:5" x14ac:dyDescent="0.3">
      <c r="E772" s="2"/>
    </row>
    <row r="773" spans="5:5" x14ac:dyDescent="0.3">
      <c r="E773" s="2"/>
    </row>
    <row r="774" spans="5:5" x14ac:dyDescent="0.3">
      <c r="E774" s="2"/>
    </row>
    <row r="775" spans="5:5" x14ac:dyDescent="0.3">
      <c r="E775" s="2"/>
    </row>
    <row r="776" spans="5:5" x14ac:dyDescent="0.3">
      <c r="E776" s="2"/>
    </row>
    <row r="777" spans="5:5" x14ac:dyDescent="0.3">
      <c r="E777" s="2"/>
    </row>
    <row r="778" spans="5:5" x14ac:dyDescent="0.3">
      <c r="E778" s="2"/>
    </row>
    <row r="779" spans="5:5" x14ac:dyDescent="0.3">
      <c r="E779" s="2"/>
    </row>
    <row r="780" spans="5:5" x14ac:dyDescent="0.3">
      <c r="E780" s="2"/>
    </row>
    <row r="781" spans="5:5" x14ac:dyDescent="0.3">
      <c r="E781" s="2"/>
    </row>
    <row r="782" spans="5:5" x14ac:dyDescent="0.3">
      <c r="E782" s="2"/>
    </row>
    <row r="783" spans="5:5" x14ac:dyDescent="0.3">
      <c r="E783" s="2"/>
    </row>
    <row r="784" spans="5:5" x14ac:dyDescent="0.3">
      <c r="E784" s="2"/>
    </row>
    <row r="785" spans="5:5" x14ac:dyDescent="0.3">
      <c r="E785" s="2"/>
    </row>
    <row r="786" spans="5:5" x14ac:dyDescent="0.3">
      <c r="E786" s="2"/>
    </row>
    <row r="787" spans="5:5" x14ac:dyDescent="0.3">
      <c r="E787" s="2"/>
    </row>
    <row r="788" spans="5:5" x14ac:dyDescent="0.3">
      <c r="E788" s="2"/>
    </row>
    <row r="789" spans="5:5" x14ac:dyDescent="0.3">
      <c r="E789" s="2"/>
    </row>
    <row r="790" spans="5:5" x14ac:dyDescent="0.3">
      <c r="E790" s="2"/>
    </row>
    <row r="791" spans="5:5" x14ac:dyDescent="0.3">
      <c r="E791" s="2"/>
    </row>
    <row r="792" spans="5:5" x14ac:dyDescent="0.3">
      <c r="E792" s="2"/>
    </row>
    <row r="793" spans="5:5" x14ac:dyDescent="0.3">
      <c r="E793" s="2"/>
    </row>
    <row r="794" spans="5:5" x14ac:dyDescent="0.3">
      <c r="E794" s="2"/>
    </row>
    <row r="795" spans="5:5" x14ac:dyDescent="0.3">
      <c r="E795" s="2"/>
    </row>
    <row r="796" spans="5:5" x14ac:dyDescent="0.3">
      <c r="E796" s="2"/>
    </row>
    <row r="797" spans="5:5" x14ac:dyDescent="0.3">
      <c r="E797" s="2"/>
    </row>
    <row r="798" spans="5:5" x14ac:dyDescent="0.3">
      <c r="E798" s="2"/>
    </row>
    <row r="799" spans="5:5" x14ac:dyDescent="0.3">
      <c r="E799" s="2"/>
    </row>
    <row r="800" spans="5:5" x14ac:dyDescent="0.3">
      <c r="E800" s="2"/>
    </row>
    <row r="801" spans="5:5" x14ac:dyDescent="0.3">
      <c r="E801" s="2"/>
    </row>
    <row r="802" spans="5:5" x14ac:dyDescent="0.3">
      <c r="E802" s="2"/>
    </row>
    <row r="803" spans="5:5" x14ac:dyDescent="0.3">
      <c r="E803" s="2"/>
    </row>
    <row r="804" spans="5:5" x14ac:dyDescent="0.3">
      <c r="E804" s="2"/>
    </row>
    <row r="805" spans="5:5" x14ac:dyDescent="0.3">
      <c r="E805" s="2"/>
    </row>
    <row r="806" spans="5:5" x14ac:dyDescent="0.3">
      <c r="E806" s="2"/>
    </row>
    <row r="807" spans="5:5" x14ac:dyDescent="0.3">
      <c r="E807" s="2"/>
    </row>
    <row r="808" spans="5:5" x14ac:dyDescent="0.3">
      <c r="E808" s="2"/>
    </row>
    <row r="809" spans="5:5" x14ac:dyDescent="0.3">
      <c r="E809" s="2"/>
    </row>
    <row r="810" spans="5:5" x14ac:dyDescent="0.3">
      <c r="E810" s="2"/>
    </row>
    <row r="811" spans="5:5" x14ac:dyDescent="0.3">
      <c r="E811" s="2"/>
    </row>
    <row r="812" spans="5:5" x14ac:dyDescent="0.3">
      <c r="E812" s="2"/>
    </row>
    <row r="813" spans="5:5" x14ac:dyDescent="0.3">
      <c r="E813" s="2"/>
    </row>
    <row r="814" spans="5:5" x14ac:dyDescent="0.3">
      <c r="E814" s="2"/>
    </row>
    <row r="815" spans="5:5" x14ac:dyDescent="0.3">
      <c r="E815" s="2"/>
    </row>
    <row r="816" spans="5:5" x14ac:dyDescent="0.3">
      <c r="E816" s="2"/>
    </row>
    <row r="817" spans="5:5" x14ac:dyDescent="0.3">
      <c r="E817" s="2"/>
    </row>
    <row r="818" spans="5:5" x14ac:dyDescent="0.3">
      <c r="E818" s="2"/>
    </row>
    <row r="819" spans="5:5" x14ac:dyDescent="0.3">
      <c r="E819" s="2"/>
    </row>
    <row r="820" spans="5:5" x14ac:dyDescent="0.3">
      <c r="E820" s="2"/>
    </row>
    <row r="821" spans="5:5" x14ac:dyDescent="0.3">
      <c r="E821" s="2"/>
    </row>
    <row r="822" spans="5:5" x14ac:dyDescent="0.3">
      <c r="E822" s="2"/>
    </row>
    <row r="823" spans="5:5" x14ac:dyDescent="0.3">
      <c r="E823" s="2"/>
    </row>
    <row r="824" spans="5:5" x14ac:dyDescent="0.3">
      <c r="E824" s="2"/>
    </row>
    <row r="825" spans="5:5" x14ac:dyDescent="0.3">
      <c r="E825" s="2"/>
    </row>
    <row r="826" spans="5:5" x14ac:dyDescent="0.3">
      <c r="E826" s="2"/>
    </row>
    <row r="827" spans="5:5" x14ac:dyDescent="0.3">
      <c r="E827" s="2"/>
    </row>
    <row r="828" spans="5:5" x14ac:dyDescent="0.3">
      <c r="E828" s="2"/>
    </row>
    <row r="829" spans="5:5" x14ac:dyDescent="0.3">
      <c r="E829" s="2"/>
    </row>
    <row r="830" spans="5:5" x14ac:dyDescent="0.3">
      <c r="E830" s="2"/>
    </row>
    <row r="831" spans="5:5" x14ac:dyDescent="0.3">
      <c r="E831" s="2"/>
    </row>
    <row r="832" spans="5:5" x14ac:dyDescent="0.3">
      <c r="E832" s="2"/>
    </row>
    <row r="833" spans="5:5" x14ac:dyDescent="0.3">
      <c r="E833" s="2"/>
    </row>
    <row r="834" spans="5:5" x14ac:dyDescent="0.3">
      <c r="E834" s="2"/>
    </row>
    <row r="835" spans="5:5" x14ac:dyDescent="0.3">
      <c r="E835" s="2"/>
    </row>
    <row r="836" spans="5:5" x14ac:dyDescent="0.3">
      <c r="E836" s="2"/>
    </row>
    <row r="837" spans="5:5" x14ac:dyDescent="0.3">
      <c r="E837" s="2"/>
    </row>
    <row r="838" spans="5:5" x14ac:dyDescent="0.3">
      <c r="E838" s="2"/>
    </row>
    <row r="839" spans="5:5" x14ac:dyDescent="0.3">
      <c r="E839" s="2"/>
    </row>
    <row r="840" spans="5:5" x14ac:dyDescent="0.3">
      <c r="E840" s="2"/>
    </row>
    <row r="841" spans="5:5" x14ac:dyDescent="0.3">
      <c r="E841" s="2"/>
    </row>
    <row r="842" spans="5:5" x14ac:dyDescent="0.3">
      <c r="E842" s="2"/>
    </row>
    <row r="843" spans="5:5" x14ac:dyDescent="0.3">
      <c r="E843" s="2"/>
    </row>
    <row r="844" spans="5:5" x14ac:dyDescent="0.3">
      <c r="E844" s="2"/>
    </row>
    <row r="845" spans="5:5" x14ac:dyDescent="0.3">
      <c r="E845" s="2"/>
    </row>
    <row r="846" spans="5:5" x14ac:dyDescent="0.3">
      <c r="E846" s="2"/>
    </row>
    <row r="847" spans="5:5" x14ac:dyDescent="0.3">
      <c r="E847" s="2"/>
    </row>
    <row r="848" spans="5:5" x14ac:dyDescent="0.3">
      <c r="E848" s="2"/>
    </row>
    <row r="849" spans="5:5" x14ac:dyDescent="0.3">
      <c r="E849" s="2"/>
    </row>
    <row r="850" spans="5:5" x14ac:dyDescent="0.3">
      <c r="E850" s="2"/>
    </row>
    <row r="851" spans="5:5" x14ac:dyDescent="0.3">
      <c r="E851" s="2"/>
    </row>
    <row r="852" spans="5:5" x14ac:dyDescent="0.3">
      <c r="E852" s="2"/>
    </row>
    <row r="853" spans="5:5" x14ac:dyDescent="0.3">
      <c r="E853" s="2"/>
    </row>
    <row r="854" spans="5:5" x14ac:dyDescent="0.3">
      <c r="E854" s="2"/>
    </row>
    <row r="855" spans="5:5" x14ac:dyDescent="0.3">
      <c r="E855" s="2"/>
    </row>
    <row r="856" spans="5:5" x14ac:dyDescent="0.3">
      <c r="E856" s="2"/>
    </row>
    <row r="857" spans="5:5" x14ac:dyDescent="0.3">
      <c r="E857" s="2"/>
    </row>
    <row r="858" spans="5:5" x14ac:dyDescent="0.3">
      <c r="E858" s="2"/>
    </row>
    <row r="859" spans="5:5" x14ac:dyDescent="0.3">
      <c r="E859" s="2"/>
    </row>
    <row r="860" spans="5:5" x14ac:dyDescent="0.3">
      <c r="E860" s="2"/>
    </row>
    <row r="861" spans="5:5" x14ac:dyDescent="0.3">
      <c r="E861" s="2"/>
    </row>
    <row r="862" spans="5:5" x14ac:dyDescent="0.3">
      <c r="E862" s="2"/>
    </row>
    <row r="863" spans="5:5" x14ac:dyDescent="0.3">
      <c r="E863" s="2"/>
    </row>
    <row r="864" spans="5:5" x14ac:dyDescent="0.3">
      <c r="E864" s="2"/>
    </row>
    <row r="865" spans="5:5" x14ac:dyDescent="0.3">
      <c r="E865" s="2"/>
    </row>
    <row r="866" spans="5:5" x14ac:dyDescent="0.3">
      <c r="E866" s="2"/>
    </row>
    <row r="867" spans="5:5" x14ac:dyDescent="0.3">
      <c r="E867" s="2"/>
    </row>
    <row r="868" spans="5:5" x14ac:dyDescent="0.3">
      <c r="E868" s="2"/>
    </row>
    <row r="869" spans="5:5" x14ac:dyDescent="0.3">
      <c r="E869" s="2"/>
    </row>
    <row r="870" spans="5:5" x14ac:dyDescent="0.3">
      <c r="E870" s="2"/>
    </row>
    <row r="871" spans="5:5" x14ac:dyDescent="0.3">
      <c r="E871" s="2"/>
    </row>
    <row r="872" spans="5:5" x14ac:dyDescent="0.3">
      <c r="E872" s="2"/>
    </row>
    <row r="873" spans="5:5" x14ac:dyDescent="0.3">
      <c r="E873" s="2"/>
    </row>
    <row r="874" spans="5:5" x14ac:dyDescent="0.3">
      <c r="E874" s="2"/>
    </row>
    <row r="875" spans="5:5" x14ac:dyDescent="0.3">
      <c r="E875" s="2"/>
    </row>
    <row r="876" spans="5:5" x14ac:dyDescent="0.3">
      <c r="E876" s="2"/>
    </row>
    <row r="877" spans="5:5" x14ac:dyDescent="0.3">
      <c r="E877" s="2"/>
    </row>
    <row r="878" spans="5:5" x14ac:dyDescent="0.3">
      <c r="E878" s="2"/>
    </row>
    <row r="879" spans="5:5" x14ac:dyDescent="0.3">
      <c r="E879" s="2"/>
    </row>
    <row r="880" spans="5:5" x14ac:dyDescent="0.3">
      <c r="E880" s="2"/>
    </row>
    <row r="881" spans="5:5" x14ac:dyDescent="0.3">
      <c r="E881" s="2"/>
    </row>
    <row r="882" spans="5:5" x14ac:dyDescent="0.3">
      <c r="E882" s="2"/>
    </row>
    <row r="883" spans="5:5" x14ac:dyDescent="0.3">
      <c r="E883" s="2"/>
    </row>
    <row r="884" spans="5:5" x14ac:dyDescent="0.3">
      <c r="E884" s="2"/>
    </row>
    <row r="885" spans="5:5" x14ac:dyDescent="0.3">
      <c r="E885" s="2"/>
    </row>
    <row r="886" spans="5:5" x14ac:dyDescent="0.3">
      <c r="E886" s="2"/>
    </row>
    <row r="887" spans="5:5" x14ac:dyDescent="0.3">
      <c r="E887" s="2"/>
    </row>
    <row r="888" spans="5:5" x14ac:dyDescent="0.3">
      <c r="E888" s="2"/>
    </row>
    <row r="889" spans="5:5" x14ac:dyDescent="0.3">
      <c r="E889" s="2"/>
    </row>
    <row r="890" spans="5:5" x14ac:dyDescent="0.3">
      <c r="E890" s="2"/>
    </row>
    <row r="891" spans="5:5" x14ac:dyDescent="0.3">
      <c r="E891" s="2"/>
    </row>
    <row r="892" spans="5:5" x14ac:dyDescent="0.3">
      <c r="E892" s="2"/>
    </row>
    <row r="893" spans="5:5" x14ac:dyDescent="0.3">
      <c r="E893" s="2"/>
    </row>
    <row r="894" spans="5:5" x14ac:dyDescent="0.3">
      <c r="E894" s="2"/>
    </row>
    <row r="895" spans="5:5" x14ac:dyDescent="0.3">
      <c r="E895" s="2"/>
    </row>
    <row r="896" spans="5:5" x14ac:dyDescent="0.3">
      <c r="E896" s="2"/>
    </row>
    <row r="897" spans="5:5" x14ac:dyDescent="0.3">
      <c r="E897" s="2"/>
    </row>
    <row r="898" spans="5:5" x14ac:dyDescent="0.3">
      <c r="E898" s="2"/>
    </row>
    <row r="899" spans="5:5" x14ac:dyDescent="0.3">
      <c r="E899" s="2"/>
    </row>
    <row r="900" spans="5:5" x14ac:dyDescent="0.3">
      <c r="E900" s="2"/>
    </row>
    <row r="901" spans="5:5" x14ac:dyDescent="0.3">
      <c r="E901" s="2"/>
    </row>
    <row r="902" spans="5:5" x14ac:dyDescent="0.3">
      <c r="E902" s="2"/>
    </row>
    <row r="903" spans="5:5" x14ac:dyDescent="0.3">
      <c r="E903" s="2"/>
    </row>
    <row r="904" spans="5:5" x14ac:dyDescent="0.3">
      <c r="E904" s="2"/>
    </row>
    <row r="905" spans="5:5" x14ac:dyDescent="0.3">
      <c r="E905" s="2"/>
    </row>
    <row r="906" spans="5:5" x14ac:dyDescent="0.3">
      <c r="E906" s="2"/>
    </row>
    <row r="907" spans="5:5" x14ac:dyDescent="0.3">
      <c r="E907" s="2"/>
    </row>
    <row r="908" spans="5:5" x14ac:dyDescent="0.3">
      <c r="E908" s="2"/>
    </row>
    <row r="909" spans="5:5" x14ac:dyDescent="0.3">
      <c r="E909" s="2"/>
    </row>
    <row r="910" spans="5:5" x14ac:dyDescent="0.3">
      <c r="E910" s="2"/>
    </row>
    <row r="911" spans="5:5" x14ac:dyDescent="0.3">
      <c r="E911" s="2"/>
    </row>
    <row r="912" spans="5:5" x14ac:dyDescent="0.3">
      <c r="E912" s="2"/>
    </row>
    <row r="913" spans="5:5" x14ac:dyDescent="0.3">
      <c r="E913" s="2"/>
    </row>
    <row r="914" spans="5:5" x14ac:dyDescent="0.3">
      <c r="E914" s="2"/>
    </row>
    <row r="915" spans="5:5" x14ac:dyDescent="0.3">
      <c r="E915" s="2"/>
    </row>
    <row r="916" spans="5:5" x14ac:dyDescent="0.3">
      <c r="E916" s="2"/>
    </row>
    <row r="917" spans="5:5" x14ac:dyDescent="0.3">
      <c r="E917" s="2"/>
    </row>
    <row r="918" spans="5:5" x14ac:dyDescent="0.3">
      <c r="E918" s="2"/>
    </row>
    <row r="919" spans="5:5" x14ac:dyDescent="0.3">
      <c r="E919" s="2"/>
    </row>
    <row r="920" spans="5:5" x14ac:dyDescent="0.3">
      <c r="E920" s="2"/>
    </row>
    <row r="921" spans="5:5" x14ac:dyDescent="0.3">
      <c r="E921" s="2"/>
    </row>
    <row r="922" spans="5:5" x14ac:dyDescent="0.3">
      <c r="E922" s="2"/>
    </row>
    <row r="923" spans="5:5" x14ac:dyDescent="0.3">
      <c r="E923" s="2"/>
    </row>
    <row r="924" spans="5:5" x14ac:dyDescent="0.3">
      <c r="E924" s="2"/>
    </row>
    <row r="925" spans="5:5" x14ac:dyDescent="0.3">
      <c r="E925" s="2"/>
    </row>
    <row r="926" spans="5:5" x14ac:dyDescent="0.3">
      <c r="E926" s="2"/>
    </row>
    <row r="927" spans="5:5" x14ac:dyDescent="0.3">
      <c r="E927" s="2"/>
    </row>
    <row r="928" spans="5:5" x14ac:dyDescent="0.3">
      <c r="E928" s="2"/>
    </row>
    <row r="929" spans="5:5" x14ac:dyDescent="0.3">
      <c r="E929" s="2"/>
    </row>
    <row r="930" spans="5:5" x14ac:dyDescent="0.3">
      <c r="E930" s="2"/>
    </row>
    <row r="931" spans="5:5" x14ac:dyDescent="0.3">
      <c r="E931" s="2"/>
    </row>
    <row r="932" spans="5:5" x14ac:dyDescent="0.3">
      <c r="E932" s="2"/>
    </row>
    <row r="933" spans="5:5" x14ac:dyDescent="0.3">
      <c r="E933" s="2"/>
    </row>
    <row r="934" spans="5:5" x14ac:dyDescent="0.3">
      <c r="E934" s="2"/>
    </row>
    <row r="935" spans="5:5" x14ac:dyDescent="0.3">
      <c r="E935" s="2"/>
    </row>
    <row r="936" spans="5:5" x14ac:dyDescent="0.3">
      <c r="E936" s="2"/>
    </row>
    <row r="937" spans="5:5" x14ac:dyDescent="0.3">
      <c r="E937" s="2"/>
    </row>
    <row r="938" spans="5:5" x14ac:dyDescent="0.3">
      <c r="E938" s="2"/>
    </row>
    <row r="939" spans="5:5" x14ac:dyDescent="0.3">
      <c r="E939" s="2"/>
    </row>
    <row r="940" spans="5:5" x14ac:dyDescent="0.3">
      <c r="E940" s="2"/>
    </row>
    <row r="941" spans="5:5" x14ac:dyDescent="0.3">
      <c r="E941" s="2"/>
    </row>
    <row r="942" spans="5:5" x14ac:dyDescent="0.3">
      <c r="E942" s="2"/>
    </row>
    <row r="943" spans="5:5" x14ac:dyDescent="0.3">
      <c r="E943" s="2"/>
    </row>
    <row r="944" spans="5:5" x14ac:dyDescent="0.3">
      <c r="E944" s="2"/>
    </row>
    <row r="945" spans="5:5" x14ac:dyDescent="0.3">
      <c r="E945" s="2"/>
    </row>
    <row r="946" spans="5:5" x14ac:dyDescent="0.3">
      <c r="E946" s="2"/>
    </row>
    <row r="947" spans="5:5" x14ac:dyDescent="0.3">
      <c r="E947" s="2"/>
    </row>
    <row r="948" spans="5:5" x14ac:dyDescent="0.3">
      <c r="E948" s="2"/>
    </row>
    <row r="949" spans="5:5" x14ac:dyDescent="0.3">
      <c r="E949" s="2"/>
    </row>
    <row r="950" spans="5:5" x14ac:dyDescent="0.3">
      <c r="E950" s="2"/>
    </row>
    <row r="951" spans="5:5" x14ac:dyDescent="0.3">
      <c r="E951" s="2"/>
    </row>
    <row r="952" spans="5:5" x14ac:dyDescent="0.3">
      <c r="E952" s="2"/>
    </row>
    <row r="953" spans="5:5" x14ac:dyDescent="0.3">
      <c r="E953" s="2"/>
    </row>
    <row r="954" spans="5:5" x14ac:dyDescent="0.3">
      <c r="E954" s="2"/>
    </row>
    <row r="955" spans="5:5" x14ac:dyDescent="0.3">
      <c r="E955" s="2"/>
    </row>
    <row r="956" spans="5:5" x14ac:dyDescent="0.3">
      <c r="E956" s="2"/>
    </row>
    <row r="957" spans="5:5" x14ac:dyDescent="0.3">
      <c r="E957" s="2"/>
    </row>
    <row r="958" spans="5:5" x14ac:dyDescent="0.3">
      <c r="E958" s="2"/>
    </row>
    <row r="959" spans="5:5" x14ac:dyDescent="0.3">
      <c r="E959" s="2"/>
    </row>
    <row r="960" spans="5:5" x14ac:dyDescent="0.3">
      <c r="E960" s="2"/>
    </row>
    <row r="961" spans="5:5" x14ac:dyDescent="0.3">
      <c r="E961" s="2"/>
    </row>
    <row r="962" spans="5:5" x14ac:dyDescent="0.3">
      <c r="E962" s="2"/>
    </row>
    <row r="963" spans="5:5" x14ac:dyDescent="0.3">
      <c r="E963" s="2"/>
    </row>
    <row r="964" spans="5:5" x14ac:dyDescent="0.3">
      <c r="E964" s="2"/>
    </row>
    <row r="965" spans="5:5" x14ac:dyDescent="0.3">
      <c r="E965" s="2"/>
    </row>
    <row r="966" spans="5:5" x14ac:dyDescent="0.3">
      <c r="E966" s="2"/>
    </row>
    <row r="967" spans="5:5" x14ac:dyDescent="0.3">
      <c r="E967" s="2"/>
    </row>
    <row r="968" spans="5:5" x14ac:dyDescent="0.3">
      <c r="E968" s="2"/>
    </row>
    <row r="969" spans="5:5" x14ac:dyDescent="0.3">
      <c r="E969" s="2"/>
    </row>
    <row r="970" spans="5:5" x14ac:dyDescent="0.3">
      <c r="E970" s="2"/>
    </row>
    <row r="971" spans="5:5" x14ac:dyDescent="0.3">
      <c r="E971" s="2"/>
    </row>
    <row r="972" spans="5:5" x14ac:dyDescent="0.3">
      <c r="E972" s="2"/>
    </row>
    <row r="973" spans="5:5" x14ac:dyDescent="0.3">
      <c r="E973" s="2"/>
    </row>
    <row r="974" spans="5:5" x14ac:dyDescent="0.3">
      <c r="E974" s="2"/>
    </row>
    <row r="975" spans="5:5" x14ac:dyDescent="0.3">
      <c r="E975" s="2"/>
    </row>
    <row r="976" spans="5:5" x14ac:dyDescent="0.3">
      <c r="E976" s="2"/>
    </row>
    <row r="977" spans="5:5" x14ac:dyDescent="0.3">
      <c r="E977" s="2"/>
    </row>
    <row r="978" spans="5:5" x14ac:dyDescent="0.3">
      <c r="E978" s="2"/>
    </row>
    <row r="979" spans="5:5" x14ac:dyDescent="0.3">
      <c r="E979" s="2"/>
    </row>
    <row r="980" spans="5:5" x14ac:dyDescent="0.3">
      <c r="E980" s="2"/>
    </row>
    <row r="981" spans="5:5" x14ac:dyDescent="0.3">
      <c r="E981" s="2"/>
    </row>
    <row r="982" spans="5:5" x14ac:dyDescent="0.3">
      <c r="E982" s="2"/>
    </row>
    <row r="983" spans="5:5" x14ac:dyDescent="0.3">
      <c r="E983" s="2"/>
    </row>
    <row r="984" spans="5:5" x14ac:dyDescent="0.3">
      <c r="E984" s="2"/>
    </row>
    <row r="985" spans="5:5" x14ac:dyDescent="0.3">
      <c r="E985" s="2"/>
    </row>
    <row r="986" spans="5:5" x14ac:dyDescent="0.3">
      <c r="E986" s="2"/>
    </row>
    <row r="987" spans="5:5" x14ac:dyDescent="0.3">
      <c r="E987" s="2"/>
    </row>
    <row r="988" spans="5:5" x14ac:dyDescent="0.3">
      <c r="E988" s="2"/>
    </row>
    <row r="989" spans="5:5" x14ac:dyDescent="0.3">
      <c r="E989" s="2"/>
    </row>
    <row r="990" spans="5:5" x14ac:dyDescent="0.3">
      <c r="E990" s="2"/>
    </row>
    <row r="991" spans="5:5" x14ac:dyDescent="0.3">
      <c r="E991" s="2"/>
    </row>
    <row r="992" spans="5:5" x14ac:dyDescent="0.3">
      <c r="E992" s="2"/>
    </row>
    <row r="993" spans="5:5" x14ac:dyDescent="0.3">
      <c r="E993" s="2"/>
    </row>
    <row r="994" spans="5:5" x14ac:dyDescent="0.3">
      <c r="E994" s="2"/>
    </row>
    <row r="995" spans="5:5" x14ac:dyDescent="0.3">
      <c r="E995" s="2"/>
    </row>
    <row r="996" spans="5:5" x14ac:dyDescent="0.3">
      <c r="E996" s="2"/>
    </row>
    <row r="997" spans="5:5" x14ac:dyDescent="0.3">
      <c r="E997" s="2"/>
    </row>
    <row r="998" spans="5:5" x14ac:dyDescent="0.3">
      <c r="E998" s="2"/>
    </row>
    <row r="999" spans="5:5" x14ac:dyDescent="0.3">
      <c r="E999" s="2"/>
    </row>
    <row r="1000" spans="5:5" x14ac:dyDescent="0.3">
      <c r="E1000" s="2"/>
    </row>
    <row r="1001" spans="5:5" x14ac:dyDescent="0.3">
      <c r="E1001" s="2"/>
    </row>
    <row r="1002" spans="5:5" x14ac:dyDescent="0.3">
      <c r="E1002" s="2"/>
    </row>
    <row r="1003" spans="5:5" x14ac:dyDescent="0.3">
      <c r="E1003" s="2"/>
    </row>
    <row r="1004" spans="5:5" x14ac:dyDescent="0.3">
      <c r="E1004" s="2"/>
    </row>
    <row r="1005" spans="5:5" x14ac:dyDescent="0.3">
      <c r="E1005" s="2"/>
    </row>
    <row r="1006" spans="5:5" x14ac:dyDescent="0.3">
      <c r="E1006" s="2"/>
    </row>
    <row r="1007" spans="5:5" x14ac:dyDescent="0.3">
      <c r="E1007" s="2"/>
    </row>
    <row r="1008" spans="5:5" x14ac:dyDescent="0.3">
      <c r="E1008" s="2"/>
    </row>
    <row r="1009" spans="5:5" x14ac:dyDescent="0.3">
      <c r="E1009" s="2"/>
    </row>
    <row r="1010" spans="5:5" x14ac:dyDescent="0.3">
      <c r="E1010" s="2"/>
    </row>
    <row r="1011" spans="5:5" x14ac:dyDescent="0.3">
      <c r="E1011" s="2"/>
    </row>
    <row r="1012" spans="5:5" x14ac:dyDescent="0.3">
      <c r="E1012" s="2"/>
    </row>
    <row r="1013" spans="5:5" x14ac:dyDescent="0.3">
      <c r="E1013" s="2"/>
    </row>
    <row r="1014" spans="5:5" x14ac:dyDescent="0.3">
      <c r="E1014" s="2"/>
    </row>
    <row r="1015" spans="5:5" x14ac:dyDescent="0.3">
      <c r="E1015" s="2"/>
    </row>
    <row r="1016" spans="5:5" x14ac:dyDescent="0.3">
      <c r="E1016" s="2"/>
    </row>
    <row r="1017" spans="5:5" x14ac:dyDescent="0.3">
      <c r="E1017" s="2"/>
    </row>
    <row r="1018" spans="5:5" x14ac:dyDescent="0.3">
      <c r="E1018" s="2"/>
    </row>
    <row r="1019" spans="5:5" x14ac:dyDescent="0.3">
      <c r="E1019" s="2"/>
    </row>
    <row r="1020" spans="5:5" x14ac:dyDescent="0.3">
      <c r="E1020" s="2"/>
    </row>
    <row r="1021" spans="5:5" x14ac:dyDescent="0.3">
      <c r="E1021" s="2"/>
    </row>
    <row r="1022" spans="5:5" x14ac:dyDescent="0.3">
      <c r="E1022" s="2"/>
    </row>
    <row r="1023" spans="5:5" x14ac:dyDescent="0.3">
      <c r="E1023" s="2"/>
    </row>
    <row r="1024" spans="5:5" x14ac:dyDescent="0.3">
      <c r="E1024" s="2"/>
    </row>
    <row r="1025" spans="5:5" x14ac:dyDescent="0.3">
      <c r="E1025" s="2"/>
    </row>
    <row r="1026" spans="5:5" x14ac:dyDescent="0.3">
      <c r="E1026" s="2"/>
    </row>
    <row r="1027" spans="5:5" x14ac:dyDescent="0.3">
      <c r="E1027" s="2"/>
    </row>
    <row r="1028" spans="5:5" x14ac:dyDescent="0.3">
      <c r="E1028" s="2"/>
    </row>
    <row r="1029" spans="5:5" x14ac:dyDescent="0.3">
      <c r="E1029" s="2"/>
    </row>
    <row r="1030" spans="5:5" x14ac:dyDescent="0.3">
      <c r="E1030" s="2"/>
    </row>
    <row r="1031" spans="5:5" x14ac:dyDescent="0.3">
      <c r="E1031" s="2"/>
    </row>
    <row r="1032" spans="5:5" x14ac:dyDescent="0.3">
      <c r="E1032" s="2"/>
    </row>
    <row r="1033" spans="5:5" x14ac:dyDescent="0.3">
      <c r="E1033" s="2"/>
    </row>
    <row r="1034" spans="5:5" x14ac:dyDescent="0.3">
      <c r="E1034" s="2"/>
    </row>
    <row r="1035" spans="5:5" x14ac:dyDescent="0.3">
      <c r="E1035" s="2"/>
    </row>
    <row r="1036" spans="5:5" x14ac:dyDescent="0.3">
      <c r="E1036" s="2"/>
    </row>
    <row r="1037" spans="5:5" x14ac:dyDescent="0.3">
      <c r="E1037" s="2"/>
    </row>
    <row r="1038" spans="5:5" x14ac:dyDescent="0.3">
      <c r="E1038" s="2"/>
    </row>
    <row r="1039" spans="5:5" x14ac:dyDescent="0.3">
      <c r="E1039" s="2"/>
    </row>
    <row r="1040" spans="5:5" x14ac:dyDescent="0.3">
      <c r="E1040" s="2"/>
    </row>
    <row r="1041" spans="5:5" x14ac:dyDescent="0.3">
      <c r="E1041" s="2"/>
    </row>
    <row r="1042" spans="5:5" x14ac:dyDescent="0.3">
      <c r="E1042" s="2"/>
    </row>
    <row r="1043" spans="5:5" x14ac:dyDescent="0.3">
      <c r="E1043" s="2"/>
    </row>
    <row r="1044" spans="5:5" x14ac:dyDescent="0.3">
      <c r="E1044" s="2"/>
    </row>
    <row r="1045" spans="5:5" x14ac:dyDescent="0.3">
      <c r="E1045" s="2"/>
    </row>
    <row r="1046" spans="5:5" x14ac:dyDescent="0.3">
      <c r="E1046" s="2"/>
    </row>
    <row r="1047" spans="5:5" x14ac:dyDescent="0.3">
      <c r="E1047" s="2"/>
    </row>
    <row r="1048" spans="5:5" x14ac:dyDescent="0.3">
      <c r="E1048" s="2"/>
    </row>
    <row r="1049" spans="5:5" x14ac:dyDescent="0.3">
      <c r="E1049" s="2"/>
    </row>
    <row r="1050" spans="5:5" x14ac:dyDescent="0.3">
      <c r="E1050" s="2"/>
    </row>
    <row r="1051" spans="5:5" x14ac:dyDescent="0.3">
      <c r="E1051" s="2"/>
    </row>
    <row r="1052" spans="5:5" x14ac:dyDescent="0.3">
      <c r="E1052" s="2"/>
    </row>
    <row r="1053" spans="5:5" x14ac:dyDescent="0.3">
      <c r="E1053" s="2"/>
    </row>
    <row r="1054" spans="5:5" x14ac:dyDescent="0.3">
      <c r="E1054" s="2"/>
    </row>
    <row r="1055" spans="5:5" x14ac:dyDescent="0.3">
      <c r="E1055" s="2"/>
    </row>
    <row r="1056" spans="5:5" x14ac:dyDescent="0.3">
      <c r="E1056" s="2"/>
    </row>
    <row r="1057" spans="5:5" x14ac:dyDescent="0.3">
      <c r="E1057" s="2"/>
    </row>
    <row r="1058" spans="5:5" x14ac:dyDescent="0.3">
      <c r="E1058" s="2"/>
    </row>
    <row r="1059" spans="5:5" x14ac:dyDescent="0.3">
      <c r="E1059" s="2"/>
    </row>
    <row r="1060" spans="5:5" x14ac:dyDescent="0.3">
      <c r="E1060" s="2"/>
    </row>
    <row r="1061" spans="5:5" x14ac:dyDescent="0.3">
      <c r="E1061" s="2"/>
    </row>
    <row r="1062" spans="5:5" x14ac:dyDescent="0.3">
      <c r="E1062" s="2"/>
    </row>
    <row r="1063" spans="5:5" x14ac:dyDescent="0.3">
      <c r="E1063" s="2"/>
    </row>
    <row r="1064" spans="5:5" x14ac:dyDescent="0.3">
      <c r="E1064" s="2"/>
    </row>
    <row r="1065" spans="5:5" x14ac:dyDescent="0.3">
      <c r="E1065" s="2"/>
    </row>
    <row r="1066" spans="5:5" x14ac:dyDescent="0.3">
      <c r="E1066" s="2"/>
    </row>
    <row r="1067" spans="5:5" x14ac:dyDescent="0.3">
      <c r="E1067" s="2"/>
    </row>
    <row r="1068" spans="5:5" x14ac:dyDescent="0.3">
      <c r="E1068" s="2"/>
    </row>
    <row r="1069" spans="5:5" x14ac:dyDescent="0.3">
      <c r="E1069" s="2"/>
    </row>
    <row r="1070" spans="5:5" x14ac:dyDescent="0.3">
      <c r="E1070" s="2"/>
    </row>
    <row r="1071" spans="5:5" x14ac:dyDescent="0.3">
      <c r="E1071" s="2"/>
    </row>
    <row r="1072" spans="5:5" x14ac:dyDescent="0.3">
      <c r="E1072" s="2"/>
    </row>
    <row r="1073" spans="5:5" x14ac:dyDescent="0.3">
      <c r="E1073" s="2"/>
    </row>
    <row r="1074" spans="5:5" x14ac:dyDescent="0.3">
      <c r="E1074" s="2"/>
    </row>
    <row r="1075" spans="5:5" x14ac:dyDescent="0.3">
      <c r="E1075" s="2"/>
    </row>
    <row r="1076" spans="5:5" x14ac:dyDescent="0.3">
      <c r="E1076" s="2"/>
    </row>
    <row r="1077" spans="5:5" x14ac:dyDescent="0.3">
      <c r="E1077" s="2"/>
    </row>
    <row r="1078" spans="5:5" x14ac:dyDescent="0.3">
      <c r="E1078" s="2"/>
    </row>
    <row r="1079" spans="5:5" x14ac:dyDescent="0.3">
      <c r="E1079" s="2"/>
    </row>
    <row r="1080" spans="5:5" x14ac:dyDescent="0.3">
      <c r="E1080" s="2"/>
    </row>
    <row r="1081" spans="5:5" x14ac:dyDescent="0.3">
      <c r="E1081" s="2"/>
    </row>
    <row r="1082" spans="5:5" x14ac:dyDescent="0.3">
      <c r="E1082" s="2"/>
    </row>
    <row r="1083" spans="5:5" x14ac:dyDescent="0.3">
      <c r="E1083" s="2"/>
    </row>
    <row r="1084" spans="5:5" x14ac:dyDescent="0.3">
      <c r="E1084" s="2"/>
    </row>
    <row r="1085" spans="5:5" x14ac:dyDescent="0.3">
      <c r="E1085" s="2"/>
    </row>
    <row r="1086" spans="5:5" x14ac:dyDescent="0.3">
      <c r="E1086" s="2"/>
    </row>
    <row r="1087" spans="5:5" x14ac:dyDescent="0.3">
      <c r="E1087" s="2"/>
    </row>
    <row r="1088" spans="5:5" x14ac:dyDescent="0.3">
      <c r="E1088" s="2"/>
    </row>
    <row r="1089" spans="5:5" x14ac:dyDescent="0.3">
      <c r="E1089" s="2"/>
    </row>
    <row r="1090" spans="5:5" x14ac:dyDescent="0.3">
      <c r="E1090" s="2"/>
    </row>
    <row r="1091" spans="5:5" x14ac:dyDescent="0.3">
      <c r="E1091" s="2"/>
    </row>
    <row r="1092" spans="5:5" x14ac:dyDescent="0.3">
      <c r="E1092" s="2"/>
    </row>
    <row r="1093" spans="5:5" x14ac:dyDescent="0.3">
      <c r="E1093" s="2"/>
    </row>
    <row r="1094" spans="5:5" x14ac:dyDescent="0.3">
      <c r="E1094" s="2"/>
    </row>
    <row r="1095" spans="5:5" x14ac:dyDescent="0.3">
      <c r="E1095" s="2"/>
    </row>
    <row r="1096" spans="5:5" x14ac:dyDescent="0.3">
      <c r="E1096" s="2"/>
    </row>
    <row r="1097" spans="5:5" x14ac:dyDescent="0.3">
      <c r="E1097" s="2"/>
    </row>
    <row r="1098" spans="5:5" x14ac:dyDescent="0.3">
      <c r="E1098" s="2"/>
    </row>
    <row r="1099" spans="5:5" x14ac:dyDescent="0.3">
      <c r="E1099" s="2"/>
    </row>
    <row r="1100" spans="5:5" x14ac:dyDescent="0.3">
      <c r="E1100" s="2"/>
    </row>
    <row r="1101" spans="5:5" x14ac:dyDescent="0.3">
      <c r="E1101" s="2"/>
    </row>
    <row r="1102" spans="5:5" x14ac:dyDescent="0.3">
      <c r="E1102" s="2"/>
    </row>
    <row r="1103" spans="5:5" x14ac:dyDescent="0.3">
      <c r="E1103" s="2"/>
    </row>
    <row r="1104" spans="5:5" x14ac:dyDescent="0.3">
      <c r="E1104" s="2"/>
    </row>
    <row r="1105" spans="5:5" x14ac:dyDescent="0.3">
      <c r="E1105" s="2"/>
    </row>
    <row r="1106" spans="5:5" x14ac:dyDescent="0.3">
      <c r="E1106" s="2"/>
    </row>
    <row r="1107" spans="5:5" x14ac:dyDescent="0.3">
      <c r="E1107" s="2"/>
    </row>
    <row r="1108" spans="5:5" x14ac:dyDescent="0.3">
      <c r="E1108" s="2"/>
    </row>
    <row r="1109" spans="5:5" x14ac:dyDescent="0.3">
      <c r="E1109" s="2"/>
    </row>
    <row r="1110" spans="5:5" x14ac:dyDescent="0.3">
      <c r="E1110" s="2"/>
    </row>
    <row r="1111" spans="5:5" x14ac:dyDescent="0.3">
      <c r="E1111" s="2"/>
    </row>
    <row r="1112" spans="5:5" x14ac:dyDescent="0.3">
      <c r="E1112" s="2"/>
    </row>
    <row r="1113" spans="5:5" x14ac:dyDescent="0.3">
      <c r="E1113" s="2"/>
    </row>
    <row r="1114" spans="5:5" x14ac:dyDescent="0.3">
      <c r="E1114" s="2"/>
    </row>
    <row r="1115" spans="5:5" x14ac:dyDescent="0.3">
      <c r="E1115" s="2"/>
    </row>
    <row r="1116" spans="5:5" x14ac:dyDescent="0.3">
      <c r="E1116" s="2"/>
    </row>
    <row r="1117" spans="5:5" x14ac:dyDescent="0.3">
      <c r="E1117" s="2"/>
    </row>
    <row r="1118" spans="5:5" x14ac:dyDescent="0.3">
      <c r="E1118" s="2"/>
    </row>
    <row r="1119" spans="5:5" x14ac:dyDescent="0.3">
      <c r="E1119" s="2"/>
    </row>
    <row r="1120" spans="5:5" x14ac:dyDescent="0.3">
      <c r="E1120" s="2"/>
    </row>
    <row r="1121" spans="5:5" x14ac:dyDescent="0.3">
      <c r="E1121" s="2"/>
    </row>
    <row r="1122" spans="5:5" x14ac:dyDescent="0.3">
      <c r="E1122" s="2"/>
    </row>
    <row r="1123" spans="5:5" x14ac:dyDescent="0.3">
      <c r="E1123" s="2"/>
    </row>
    <row r="1124" spans="5:5" x14ac:dyDescent="0.3">
      <c r="E1124" s="2"/>
    </row>
    <row r="1125" spans="5:5" x14ac:dyDescent="0.3">
      <c r="E1125" s="2"/>
    </row>
    <row r="1126" spans="5:5" x14ac:dyDescent="0.3">
      <c r="E1126" s="2"/>
    </row>
    <row r="1127" spans="5:5" x14ac:dyDescent="0.3">
      <c r="E1127" s="2"/>
    </row>
    <row r="1128" spans="5:5" x14ac:dyDescent="0.3">
      <c r="E1128" s="2"/>
    </row>
    <row r="1129" spans="5:5" x14ac:dyDescent="0.3">
      <c r="E1129" s="2"/>
    </row>
    <row r="1130" spans="5:5" x14ac:dyDescent="0.3">
      <c r="E1130" s="2"/>
    </row>
    <row r="1131" spans="5:5" x14ac:dyDescent="0.3">
      <c r="E1131" s="2"/>
    </row>
    <row r="1132" spans="5:5" x14ac:dyDescent="0.3">
      <c r="E1132" s="2"/>
    </row>
    <row r="1133" spans="5:5" x14ac:dyDescent="0.3">
      <c r="E1133" s="2"/>
    </row>
    <row r="1134" spans="5:5" x14ac:dyDescent="0.3">
      <c r="E1134" s="2"/>
    </row>
    <row r="1135" spans="5:5" x14ac:dyDescent="0.3">
      <c r="E1135" s="2"/>
    </row>
    <row r="1136" spans="5:5" x14ac:dyDescent="0.3">
      <c r="E1136" s="2"/>
    </row>
    <row r="1137" spans="5:5" x14ac:dyDescent="0.3">
      <c r="E1137" s="2"/>
    </row>
    <row r="1138" spans="5:5" x14ac:dyDescent="0.3">
      <c r="E1138" s="2"/>
    </row>
    <row r="1139" spans="5:5" x14ac:dyDescent="0.3">
      <c r="E1139" s="2"/>
    </row>
    <row r="1140" spans="5:5" x14ac:dyDescent="0.3">
      <c r="E1140" s="2"/>
    </row>
    <row r="1141" spans="5:5" x14ac:dyDescent="0.3">
      <c r="E1141" s="2"/>
    </row>
    <row r="1142" spans="5:5" x14ac:dyDescent="0.3">
      <c r="E1142" s="2"/>
    </row>
    <row r="1143" spans="5:5" x14ac:dyDescent="0.3">
      <c r="E1143" s="2"/>
    </row>
    <row r="1144" spans="5:5" x14ac:dyDescent="0.3">
      <c r="E1144" s="2"/>
    </row>
    <row r="1145" spans="5:5" x14ac:dyDescent="0.3">
      <c r="E1145" s="2"/>
    </row>
    <row r="1146" spans="5:5" x14ac:dyDescent="0.3">
      <c r="E1146" s="2"/>
    </row>
    <row r="1147" spans="5:5" x14ac:dyDescent="0.3">
      <c r="E1147" s="2"/>
    </row>
    <row r="1148" spans="5:5" x14ac:dyDescent="0.3">
      <c r="E1148" s="2"/>
    </row>
    <row r="1149" spans="5:5" x14ac:dyDescent="0.3">
      <c r="E1149" s="2"/>
    </row>
    <row r="1150" spans="5:5" x14ac:dyDescent="0.3">
      <c r="E1150" s="2"/>
    </row>
    <row r="1151" spans="5:5" x14ac:dyDescent="0.3">
      <c r="E1151" s="2"/>
    </row>
    <row r="1152" spans="5:5" x14ac:dyDescent="0.3">
      <c r="E1152" s="2"/>
    </row>
    <row r="1153" spans="5:5" x14ac:dyDescent="0.3">
      <c r="E1153" s="2"/>
    </row>
    <row r="1154" spans="5:5" x14ac:dyDescent="0.3">
      <c r="E1154" s="2"/>
    </row>
    <row r="1155" spans="5:5" x14ac:dyDescent="0.3">
      <c r="E1155" s="2"/>
    </row>
    <row r="1156" spans="5:5" x14ac:dyDescent="0.3">
      <c r="E1156" s="2"/>
    </row>
    <row r="1157" spans="5:5" x14ac:dyDescent="0.3">
      <c r="E1157" s="2"/>
    </row>
    <row r="1158" spans="5:5" x14ac:dyDescent="0.3">
      <c r="E1158" s="2"/>
    </row>
    <row r="1159" spans="5:5" x14ac:dyDescent="0.3">
      <c r="E1159" s="2"/>
    </row>
    <row r="1160" spans="5:5" x14ac:dyDescent="0.3">
      <c r="E1160" s="2"/>
    </row>
    <row r="1161" spans="5:5" x14ac:dyDescent="0.3">
      <c r="E1161" s="2"/>
    </row>
    <row r="1162" spans="5:5" x14ac:dyDescent="0.3">
      <c r="E1162" s="2"/>
    </row>
    <row r="1163" spans="5:5" x14ac:dyDescent="0.3">
      <c r="E1163" s="2"/>
    </row>
    <row r="1164" spans="5:5" x14ac:dyDescent="0.3">
      <c r="E1164" s="2"/>
    </row>
    <row r="1165" spans="5:5" x14ac:dyDescent="0.3">
      <c r="E1165" s="2"/>
    </row>
    <row r="1166" spans="5:5" x14ac:dyDescent="0.3">
      <c r="E1166" s="2"/>
    </row>
    <row r="1167" spans="5:5" x14ac:dyDescent="0.3">
      <c r="E1167" s="2"/>
    </row>
    <row r="1168" spans="5:5" x14ac:dyDescent="0.3">
      <c r="E1168" s="2"/>
    </row>
    <row r="1169" spans="5:5" x14ac:dyDescent="0.3">
      <c r="E1169" s="2"/>
    </row>
    <row r="1170" spans="5:5" x14ac:dyDescent="0.3">
      <c r="E1170" s="2"/>
    </row>
    <row r="1171" spans="5:5" x14ac:dyDescent="0.3">
      <c r="E1171" s="2"/>
    </row>
    <row r="1172" spans="5:5" x14ac:dyDescent="0.3">
      <c r="E1172" s="2"/>
    </row>
    <row r="1173" spans="5:5" x14ac:dyDescent="0.3">
      <c r="E1173" s="2"/>
    </row>
    <row r="1174" spans="5:5" x14ac:dyDescent="0.3">
      <c r="E1174" s="2"/>
    </row>
    <row r="1175" spans="5:5" x14ac:dyDescent="0.3">
      <c r="E1175" s="2"/>
    </row>
    <row r="1176" spans="5:5" x14ac:dyDescent="0.3">
      <c r="E1176" s="2"/>
    </row>
    <row r="1177" spans="5:5" x14ac:dyDescent="0.3">
      <c r="E1177" s="2"/>
    </row>
    <row r="1178" spans="5:5" x14ac:dyDescent="0.3">
      <c r="E1178" s="2"/>
    </row>
    <row r="1179" spans="5:5" x14ac:dyDescent="0.3">
      <c r="E1179" s="2"/>
    </row>
    <row r="1180" spans="5:5" x14ac:dyDescent="0.3">
      <c r="E1180" s="2"/>
    </row>
    <row r="1181" spans="5:5" x14ac:dyDescent="0.3">
      <c r="E1181" s="2"/>
    </row>
    <row r="1182" spans="5:5" x14ac:dyDescent="0.3">
      <c r="E1182" s="2"/>
    </row>
    <row r="1183" spans="5:5" x14ac:dyDescent="0.3">
      <c r="E1183" s="2"/>
    </row>
    <row r="1184" spans="5:5" x14ac:dyDescent="0.3">
      <c r="E1184" s="2"/>
    </row>
    <row r="1185" spans="5:5" x14ac:dyDescent="0.3">
      <c r="E1185" s="2"/>
    </row>
    <row r="1186" spans="5:5" x14ac:dyDescent="0.3">
      <c r="E1186" s="2"/>
    </row>
    <row r="1187" spans="5:5" x14ac:dyDescent="0.3">
      <c r="E1187" s="2"/>
    </row>
    <row r="1188" spans="5:5" x14ac:dyDescent="0.3">
      <c r="E1188" s="2"/>
    </row>
    <row r="1189" spans="5:5" x14ac:dyDescent="0.3">
      <c r="E1189" s="2"/>
    </row>
    <row r="1190" spans="5:5" x14ac:dyDescent="0.3">
      <c r="E1190" s="2"/>
    </row>
    <row r="1191" spans="5:5" x14ac:dyDescent="0.3">
      <c r="E1191" s="2"/>
    </row>
    <row r="1192" spans="5:5" x14ac:dyDescent="0.3">
      <c r="E1192" s="2"/>
    </row>
    <row r="1193" spans="5:5" x14ac:dyDescent="0.3">
      <c r="E1193" s="2"/>
    </row>
    <row r="1194" spans="5:5" x14ac:dyDescent="0.3">
      <c r="E1194" s="2"/>
    </row>
    <row r="1195" spans="5:5" x14ac:dyDescent="0.3">
      <c r="E1195" s="2"/>
    </row>
    <row r="1196" spans="5:5" x14ac:dyDescent="0.3">
      <c r="E1196" s="2"/>
    </row>
    <row r="1197" spans="5:5" x14ac:dyDescent="0.3">
      <c r="E1197" s="2"/>
    </row>
    <row r="1198" spans="5:5" x14ac:dyDescent="0.3">
      <c r="E1198" s="2"/>
    </row>
    <row r="1199" spans="5:5" x14ac:dyDescent="0.3">
      <c r="E1199" s="2"/>
    </row>
    <row r="1200" spans="5:5" x14ac:dyDescent="0.3">
      <c r="E1200" s="2"/>
    </row>
    <row r="1201" spans="5:5" x14ac:dyDescent="0.3">
      <c r="E1201" s="2"/>
    </row>
    <row r="1202" spans="5:5" x14ac:dyDescent="0.3">
      <c r="E1202" s="2"/>
    </row>
    <row r="1203" spans="5:5" x14ac:dyDescent="0.3">
      <c r="E1203" s="2"/>
    </row>
    <row r="1204" spans="5:5" x14ac:dyDescent="0.3">
      <c r="E1204" s="2"/>
    </row>
    <row r="1205" spans="5:5" x14ac:dyDescent="0.3">
      <c r="E1205" s="2"/>
    </row>
    <row r="1206" spans="5:5" x14ac:dyDescent="0.3">
      <c r="E1206" s="2"/>
    </row>
    <row r="1207" spans="5:5" x14ac:dyDescent="0.3">
      <c r="E1207" s="2"/>
    </row>
    <row r="1208" spans="5:5" x14ac:dyDescent="0.3">
      <c r="E1208" s="2"/>
    </row>
    <row r="1209" spans="5:5" x14ac:dyDescent="0.3">
      <c r="E1209" s="2"/>
    </row>
    <row r="1210" spans="5:5" x14ac:dyDescent="0.3">
      <c r="E1210" s="2"/>
    </row>
    <row r="1211" spans="5:5" x14ac:dyDescent="0.3">
      <c r="E1211" s="2"/>
    </row>
    <row r="1212" spans="5:5" x14ac:dyDescent="0.3">
      <c r="E1212" s="2"/>
    </row>
    <row r="1213" spans="5:5" x14ac:dyDescent="0.3">
      <c r="E1213" s="2"/>
    </row>
    <row r="1214" spans="5:5" x14ac:dyDescent="0.3">
      <c r="E1214" s="2"/>
    </row>
    <row r="1215" spans="5:5" x14ac:dyDescent="0.3">
      <c r="E1215" s="2"/>
    </row>
    <row r="1216" spans="5:5" x14ac:dyDescent="0.3">
      <c r="E1216" s="2"/>
    </row>
    <row r="1217" spans="5:5" x14ac:dyDescent="0.3">
      <c r="E1217" s="2"/>
    </row>
    <row r="1218" spans="5:5" x14ac:dyDescent="0.3">
      <c r="E1218" s="2"/>
    </row>
    <row r="1219" spans="5:5" x14ac:dyDescent="0.3">
      <c r="E1219" s="2"/>
    </row>
    <row r="1220" spans="5:5" x14ac:dyDescent="0.3">
      <c r="E1220" s="2"/>
    </row>
    <row r="1221" spans="5:5" x14ac:dyDescent="0.3">
      <c r="E1221" s="2"/>
    </row>
    <row r="1222" spans="5:5" x14ac:dyDescent="0.3">
      <c r="E1222" s="2"/>
    </row>
    <row r="1223" spans="5:5" x14ac:dyDescent="0.3">
      <c r="E1223" s="2"/>
    </row>
    <row r="1224" spans="5:5" x14ac:dyDescent="0.3">
      <c r="E1224" s="2"/>
    </row>
    <row r="1225" spans="5:5" x14ac:dyDescent="0.3">
      <c r="E1225" s="2"/>
    </row>
    <row r="1226" spans="5:5" x14ac:dyDescent="0.3">
      <c r="E1226" s="2"/>
    </row>
    <row r="1227" spans="5:5" x14ac:dyDescent="0.3">
      <c r="E1227" s="2"/>
    </row>
    <row r="1228" spans="5:5" x14ac:dyDescent="0.3">
      <c r="E1228" s="2"/>
    </row>
    <row r="1229" spans="5:5" x14ac:dyDescent="0.3">
      <c r="E1229" s="2"/>
    </row>
    <row r="1230" spans="5:5" x14ac:dyDescent="0.3">
      <c r="E1230" s="2"/>
    </row>
    <row r="1231" spans="5:5" x14ac:dyDescent="0.3">
      <c r="E1231" s="2"/>
    </row>
    <row r="1232" spans="5:5" x14ac:dyDescent="0.3">
      <c r="E1232" s="2"/>
    </row>
    <row r="1233" spans="5:5" x14ac:dyDescent="0.3">
      <c r="E1233" s="2"/>
    </row>
    <row r="1234" spans="5:5" x14ac:dyDescent="0.3">
      <c r="E1234" s="2"/>
    </row>
    <row r="1235" spans="5:5" x14ac:dyDescent="0.3">
      <c r="E1235" s="2"/>
    </row>
    <row r="1236" spans="5:5" x14ac:dyDescent="0.3">
      <c r="E1236" s="2"/>
    </row>
    <row r="1237" spans="5:5" x14ac:dyDescent="0.3">
      <c r="E1237" s="2"/>
    </row>
    <row r="1238" spans="5:5" x14ac:dyDescent="0.3">
      <c r="E1238" s="2"/>
    </row>
    <row r="1239" spans="5:5" x14ac:dyDescent="0.3">
      <c r="E1239" s="2"/>
    </row>
    <row r="1240" spans="5:5" x14ac:dyDescent="0.3">
      <c r="E1240" s="2"/>
    </row>
    <row r="1241" spans="5:5" x14ac:dyDescent="0.3">
      <c r="E1241" s="2"/>
    </row>
    <row r="1242" spans="5:5" x14ac:dyDescent="0.3">
      <c r="E1242" s="2"/>
    </row>
    <row r="1243" spans="5:5" x14ac:dyDescent="0.3">
      <c r="E1243" s="2"/>
    </row>
    <row r="1244" spans="5:5" x14ac:dyDescent="0.3">
      <c r="E1244" s="2"/>
    </row>
    <row r="1245" spans="5:5" x14ac:dyDescent="0.3">
      <c r="E1245" s="2"/>
    </row>
    <row r="1246" spans="5:5" x14ac:dyDescent="0.3">
      <c r="E1246" s="2"/>
    </row>
    <row r="1247" spans="5:5" x14ac:dyDescent="0.3">
      <c r="E1247" s="2"/>
    </row>
    <row r="1248" spans="5:5" x14ac:dyDescent="0.3">
      <c r="E1248" s="2"/>
    </row>
    <row r="1249" spans="5:5" x14ac:dyDescent="0.3">
      <c r="E1249" s="2"/>
    </row>
    <row r="1250" spans="5:5" x14ac:dyDescent="0.3">
      <c r="E1250" s="2"/>
    </row>
    <row r="1251" spans="5:5" x14ac:dyDescent="0.3">
      <c r="E1251" s="2"/>
    </row>
    <row r="1252" spans="5:5" x14ac:dyDescent="0.3">
      <c r="E1252" s="2"/>
    </row>
    <row r="1253" spans="5:5" x14ac:dyDescent="0.3">
      <c r="E1253" s="2"/>
    </row>
    <row r="1254" spans="5:5" x14ac:dyDescent="0.3">
      <c r="E1254" s="2"/>
    </row>
    <row r="1255" spans="5:5" x14ac:dyDescent="0.3">
      <c r="E1255" s="2"/>
    </row>
    <row r="1256" spans="5:5" x14ac:dyDescent="0.3">
      <c r="E1256" s="2"/>
    </row>
    <row r="1257" spans="5:5" x14ac:dyDescent="0.3">
      <c r="E1257" s="2"/>
    </row>
    <row r="1258" spans="5:5" x14ac:dyDescent="0.3">
      <c r="E1258" s="2"/>
    </row>
    <row r="1259" spans="5:5" x14ac:dyDescent="0.3">
      <c r="E1259" s="2"/>
    </row>
    <row r="1260" spans="5:5" x14ac:dyDescent="0.3">
      <c r="E1260" s="2"/>
    </row>
    <row r="1261" spans="5:5" x14ac:dyDescent="0.3">
      <c r="E1261" s="2"/>
    </row>
    <row r="1262" spans="5:5" x14ac:dyDescent="0.3">
      <c r="E1262" s="2"/>
    </row>
    <row r="1263" spans="5:5" x14ac:dyDescent="0.3">
      <c r="E1263" s="2"/>
    </row>
    <row r="1264" spans="5:5" x14ac:dyDescent="0.3">
      <c r="E1264" s="2"/>
    </row>
    <row r="1265" spans="5:5" x14ac:dyDescent="0.3">
      <c r="E1265" s="2"/>
    </row>
    <row r="1266" spans="5:5" x14ac:dyDescent="0.3">
      <c r="E1266" s="2"/>
    </row>
    <row r="1267" spans="5:5" x14ac:dyDescent="0.3">
      <c r="E1267" s="2"/>
    </row>
    <row r="1268" spans="5:5" x14ac:dyDescent="0.3">
      <c r="E1268" s="2"/>
    </row>
    <row r="1269" spans="5:5" x14ac:dyDescent="0.3">
      <c r="E1269" s="2"/>
    </row>
    <row r="1270" spans="5:5" x14ac:dyDescent="0.3">
      <c r="E1270" s="2"/>
    </row>
    <row r="1271" spans="5:5" x14ac:dyDescent="0.3">
      <c r="E1271" s="2"/>
    </row>
    <row r="1272" spans="5:5" x14ac:dyDescent="0.3">
      <c r="E1272" s="2"/>
    </row>
    <row r="1273" spans="5:5" x14ac:dyDescent="0.3">
      <c r="E1273" s="2"/>
    </row>
    <row r="1274" spans="5:5" x14ac:dyDescent="0.3">
      <c r="E1274" s="2"/>
    </row>
    <row r="1275" spans="5:5" x14ac:dyDescent="0.3">
      <c r="E1275" s="2"/>
    </row>
    <row r="1276" spans="5:5" x14ac:dyDescent="0.3">
      <c r="E1276" s="2"/>
    </row>
    <row r="1277" spans="5:5" x14ac:dyDescent="0.3">
      <c r="E1277" s="2"/>
    </row>
    <row r="1278" spans="5:5" x14ac:dyDescent="0.3">
      <c r="E1278" s="2"/>
    </row>
    <row r="1279" spans="5:5" x14ac:dyDescent="0.3">
      <c r="E1279" s="2"/>
    </row>
    <row r="1280" spans="5:5" x14ac:dyDescent="0.3">
      <c r="E1280" s="2"/>
    </row>
    <row r="1281" spans="5:5" x14ac:dyDescent="0.3">
      <c r="E1281" s="2"/>
    </row>
    <row r="1282" spans="5:5" x14ac:dyDescent="0.3">
      <c r="E1282" s="2"/>
    </row>
    <row r="1283" spans="5:5" x14ac:dyDescent="0.3">
      <c r="E1283" s="2"/>
    </row>
    <row r="1284" spans="5:5" x14ac:dyDescent="0.3">
      <c r="E1284" s="2"/>
    </row>
    <row r="1285" spans="5:5" x14ac:dyDescent="0.3">
      <c r="E1285" s="2"/>
    </row>
    <row r="1286" spans="5:5" x14ac:dyDescent="0.3">
      <c r="E1286" s="2"/>
    </row>
    <row r="1287" spans="5:5" x14ac:dyDescent="0.3">
      <c r="E1287" s="2"/>
    </row>
    <row r="1288" spans="5:5" x14ac:dyDescent="0.3">
      <c r="E1288" s="2"/>
    </row>
    <row r="1289" spans="5:5" x14ac:dyDescent="0.3">
      <c r="E1289" s="2"/>
    </row>
    <row r="1290" spans="5:5" x14ac:dyDescent="0.3">
      <c r="E1290" s="2"/>
    </row>
    <row r="1291" spans="5:5" x14ac:dyDescent="0.3">
      <c r="E1291" s="2"/>
    </row>
    <row r="1292" spans="5:5" x14ac:dyDescent="0.3">
      <c r="E1292" s="2"/>
    </row>
    <row r="1293" spans="5:5" x14ac:dyDescent="0.3">
      <c r="E1293" s="2"/>
    </row>
    <row r="1294" spans="5:5" x14ac:dyDescent="0.3">
      <c r="E1294" s="2"/>
    </row>
    <row r="1295" spans="5:5" x14ac:dyDescent="0.3">
      <c r="E1295" s="2"/>
    </row>
    <row r="1296" spans="5:5" x14ac:dyDescent="0.3">
      <c r="E1296" s="2"/>
    </row>
    <row r="1297" spans="5:5" x14ac:dyDescent="0.3">
      <c r="E1297" s="2"/>
    </row>
    <row r="1298" spans="5:5" x14ac:dyDescent="0.3">
      <c r="E1298" s="2"/>
    </row>
    <row r="1299" spans="5:5" x14ac:dyDescent="0.3">
      <c r="E1299" s="2"/>
    </row>
    <row r="1300" spans="5:5" x14ac:dyDescent="0.3">
      <c r="E1300" s="2"/>
    </row>
    <row r="1301" spans="5:5" x14ac:dyDescent="0.3">
      <c r="E1301" s="2"/>
    </row>
    <row r="1302" spans="5:5" x14ac:dyDescent="0.3">
      <c r="E1302" s="2"/>
    </row>
    <row r="1303" spans="5:5" x14ac:dyDescent="0.3">
      <c r="E1303" s="2"/>
    </row>
    <row r="1304" spans="5:5" x14ac:dyDescent="0.3">
      <c r="E1304" s="2"/>
    </row>
    <row r="1305" spans="5:5" x14ac:dyDescent="0.3">
      <c r="E1305" s="2"/>
    </row>
    <row r="1306" spans="5:5" x14ac:dyDescent="0.3">
      <c r="E1306" s="2"/>
    </row>
    <row r="1307" spans="5:5" x14ac:dyDescent="0.3">
      <c r="E1307" s="2"/>
    </row>
    <row r="1308" spans="5:5" x14ac:dyDescent="0.3">
      <c r="E1308" s="2"/>
    </row>
    <row r="1309" spans="5:5" x14ac:dyDescent="0.3">
      <c r="E1309" s="2"/>
    </row>
    <row r="1310" spans="5:5" x14ac:dyDescent="0.3">
      <c r="E1310" s="2"/>
    </row>
    <row r="1311" spans="5:5" x14ac:dyDescent="0.3">
      <c r="E1311" s="2"/>
    </row>
    <row r="1312" spans="5:5" x14ac:dyDescent="0.3">
      <c r="E1312" s="2"/>
    </row>
    <row r="1313" spans="5:5" x14ac:dyDescent="0.3">
      <c r="E1313" s="2"/>
    </row>
    <row r="1314" spans="5:5" x14ac:dyDescent="0.3">
      <c r="E1314" s="2"/>
    </row>
    <row r="1315" spans="5:5" x14ac:dyDescent="0.3">
      <c r="E1315" s="2"/>
    </row>
    <row r="1316" spans="5:5" x14ac:dyDescent="0.3">
      <c r="E1316" s="2"/>
    </row>
    <row r="1317" spans="5:5" x14ac:dyDescent="0.3">
      <c r="E1317" s="2"/>
    </row>
    <row r="1318" spans="5:5" x14ac:dyDescent="0.3">
      <c r="E1318" s="2"/>
    </row>
    <row r="1319" spans="5:5" x14ac:dyDescent="0.3">
      <c r="E1319" s="2"/>
    </row>
    <row r="1320" spans="5:5" x14ac:dyDescent="0.3">
      <c r="E1320" s="2"/>
    </row>
    <row r="1321" spans="5:5" x14ac:dyDescent="0.3">
      <c r="E1321" s="2"/>
    </row>
    <row r="1322" spans="5:5" x14ac:dyDescent="0.3">
      <c r="E1322" s="2"/>
    </row>
    <row r="1323" spans="5:5" x14ac:dyDescent="0.3">
      <c r="E1323" s="2"/>
    </row>
    <row r="1324" spans="5:5" x14ac:dyDescent="0.3">
      <c r="E1324" s="2"/>
    </row>
    <row r="1325" spans="5:5" x14ac:dyDescent="0.3">
      <c r="E1325" s="2"/>
    </row>
    <row r="1326" spans="5:5" x14ac:dyDescent="0.3">
      <c r="E1326" s="2"/>
    </row>
    <row r="1327" spans="5:5" x14ac:dyDescent="0.3">
      <c r="E1327" s="2"/>
    </row>
    <row r="1328" spans="5:5" x14ac:dyDescent="0.3">
      <c r="E1328" s="2"/>
    </row>
    <row r="1329" spans="5:5" x14ac:dyDescent="0.3">
      <c r="E1329" s="2"/>
    </row>
    <row r="1330" spans="5:5" x14ac:dyDescent="0.3">
      <c r="E1330" s="2"/>
    </row>
    <row r="1331" spans="5:5" x14ac:dyDescent="0.3">
      <c r="E1331" s="2"/>
    </row>
    <row r="1332" spans="5:5" x14ac:dyDescent="0.3">
      <c r="E1332" s="2"/>
    </row>
    <row r="1333" spans="5:5" x14ac:dyDescent="0.3">
      <c r="E1333" s="2"/>
    </row>
    <row r="1334" spans="5:5" x14ac:dyDescent="0.3">
      <c r="E1334" s="2"/>
    </row>
    <row r="1335" spans="5:5" x14ac:dyDescent="0.3">
      <c r="E1335" s="2"/>
    </row>
    <row r="1336" spans="5:5" x14ac:dyDescent="0.3">
      <c r="E1336" s="2"/>
    </row>
    <row r="1337" spans="5:5" x14ac:dyDescent="0.3">
      <c r="E1337" s="2"/>
    </row>
    <row r="1338" spans="5:5" x14ac:dyDescent="0.3">
      <c r="E1338" s="2"/>
    </row>
    <row r="1339" spans="5:5" x14ac:dyDescent="0.3">
      <c r="E1339" s="2"/>
    </row>
    <row r="1340" spans="5:5" x14ac:dyDescent="0.3">
      <c r="E1340" s="2"/>
    </row>
    <row r="1341" spans="5:5" x14ac:dyDescent="0.3">
      <c r="E1341" s="2"/>
    </row>
    <row r="1342" spans="5:5" x14ac:dyDescent="0.3">
      <c r="E1342" s="2"/>
    </row>
    <row r="1343" spans="5:5" x14ac:dyDescent="0.3">
      <c r="E1343" s="2"/>
    </row>
    <row r="1344" spans="5:5" x14ac:dyDescent="0.3">
      <c r="E1344" s="2"/>
    </row>
    <row r="1345" spans="5:5" x14ac:dyDescent="0.3">
      <c r="E1345" s="2"/>
    </row>
    <row r="1346" spans="5:5" x14ac:dyDescent="0.3">
      <c r="E1346" s="2"/>
    </row>
    <row r="1347" spans="5:5" x14ac:dyDescent="0.3">
      <c r="E1347" s="2"/>
    </row>
    <row r="1348" spans="5:5" x14ac:dyDescent="0.3">
      <c r="E1348" s="2"/>
    </row>
    <row r="1349" spans="5:5" x14ac:dyDescent="0.3">
      <c r="E1349" s="2"/>
    </row>
    <row r="1350" spans="5:5" x14ac:dyDescent="0.3">
      <c r="E1350" s="2"/>
    </row>
    <row r="1351" spans="5:5" x14ac:dyDescent="0.3">
      <c r="E1351" s="2"/>
    </row>
    <row r="1352" spans="5:5" x14ac:dyDescent="0.3">
      <c r="E1352" s="2"/>
    </row>
    <row r="1353" spans="5:5" x14ac:dyDescent="0.3">
      <c r="E1353" s="2"/>
    </row>
    <row r="1354" spans="5:5" x14ac:dyDescent="0.3">
      <c r="E1354" s="2"/>
    </row>
    <row r="1355" spans="5:5" x14ac:dyDescent="0.3">
      <c r="E1355" s="2"/>
    </row>
    <row r="1356" spans="5:5" x14ac:dyDescent="0.3">
      <c r="E1356" s="2"/>
    </row>
    <row r="1357" spans="5:5" x14ac:dyDescent="0.3">
      <c r="E1357" s="2"/>
    </row>
    <row r="1358" spans="5:5" x14ac:dyDescent="0.3">
      <c r="E1358" s="2"/>
    </row>
    <row r="1359" spans="5:5" x14ac:dyDescent="0.3">
      <c r="E1359" s="2"/>
    </row>
    <row r="1360" spans="5:5" x14ac:dyDescent="0.3">
      <c r="E1360" s="2"/>
    </row>
    <row r="1361" spans="5:5" x14ac:dyDescent="0.3">
      <c r="E1361" s="2"/>
    </row>
    <row r="1362" spans="5:5" x14ac:dyDescent="0.3">
      <c r="E1362" s="2"/>
    </row>
    <row r="1363" spans="5:5" x14ac:dyDescent="0.3">
      <c r="E1363" s="2"/>
    </row>
    <row r="1364" spans="5:5" x14ac:dyDescent="0.3">
      <c r="E1364" s="2"/>
    </row>
    <row r="1365" spans="5:5" x14ac:dyDescent="0.3">
      <c r="E1365" s="2"/>
    </row>
    <row r="1366" spans="5:5" x14ac:dyDescent="0.3">
      <c r="E1366" s="2"/>
    </row>
    <row r="1367" spans="5:5" x14ac:dyDescent="0.3">
      <c r="E1367" s="2"/>
    </row>
    <row r="1368" spans="5:5" x14ac:dyDescent="0.3">
      <c r="E1368" s="2"/>
    </row>
    <row r="1369" spans="5:5" x14ac:dyDescent="0.3">
      <c r="E1369" s="2"/>
    </row>
    <row r="1370" spans="5:5" x14ac:dyDescent="0.3">
      <c r="E1370" s="2"/>
    </row>
    <row r="1371" spans="5:5" x14ac:dyDescent="0.3">
      <c r="E1371" s="2"/>
    </row>
    <row r="1372" spans="5:5" x14ac:dyDescent="0.3">
      <c r="E1372" s="2"/>
    </row>
    <row r="1373" spans="5:5" x14ac:dyDescent="0.3">
      <c r="E1373" s="2"/>
    </row>
    <row r="1374" spans="5:5" x14ac:dyDescent="0.3">
      <c r="E1374" s="2"/>
    </row>
    <row r="1375" spans="5:5" x14ac:dyDescent="0.3">
      <c r="E1375" s="2"/>
    </row>
    <row r="1376" spans="5:5" x14ac:dyDescent="0.3">
      <c r="E1376" s="2"/>
    </row>
    <row r="1377" spans="5:5" x14ac:dyDescent="0.3">
      <c r="E1377" s="2"/>
    </row>
    <row r="1378" spans="5:5" x14ac:dyDescent="0.3">
      <c r="E1378" s="2"/>
    </row>
    <row r="1379" spans="5:5" x14ac:dyDescent="0.3">
      <c r="E1379" s="2"/>
    </row>
    <row r="1380" spans="5:5" x14ac:dyDescent="0.3">
      <c r="E1380" s="2"/>
    </row>
    <row r="1381" spans="5:5" x14ac:dyDescent="0.3">
      <c r="E1381" s="2"/>
    </row>
    <row r="1382" spans="5:5" x14ac:dyDescent="0.3">
      <c r="E1382" s="2"/>
    </row>
    <row r="1383" spans="5:5" x14ac:dyDescent="0.3">
      <c r="E1383" s="2"/>
    </row>
    <row r="1384" spans="5:5" x14ac:dyDescent="0.3">
      <c r="E1384" s="2"/>
    </row>
    <row r="1385" spans="5:5" x14ac:dyDescent="0.3">
      <c r="E1385" s="2"/>
    </row>
    <row r="1386" spans="5:5" x14ac:dyDescent="0.3">
      <c r="E1386" s="2"/>
    </row>
    <row r="1387" spans="5:5" x14ac:dyDescent="0.3">
      <c r="E1387" s="2"/>
    </row>
    <row r="1388" spans="5:5" x14ac:dyDescent="0.3">
      <c r="E1388" s="2"/>
    </row>
    <row r="1389" spans="5:5" x14ac:dyDescent="0.3">
      <c r="E1389" s="2"/>
    </row>
    <row r="1390" spans="5:5" x14ac:dyDescent="0.3">
      <c r="E1390" s="2"/>
    </row>
    <row r="1391" spans="5:5" x14ac:dyDescent="0.3">
      <c r="E1391" s="2"/>
    </row>
    <row r="1392" spans="5:5" x14ac:dyDescent="0.3">
      <c r="E1392" s="2"/>
    </row>
    <row r="1393" spans="5:5" x14ac:dyDescent="0.3">
      <c r="E1393" s="2"/>
    </row>
    <row r="1394" spans="5:5" x14ac:dyDescent="0.3">
      <c r="E1394" s="2"/>
    </row>
    <row r="1395" spans="5:5" x14ac:dyDescent="0.3">
      <c r="E1395" s="2"/>
    </row>
    <row r="1396" spans="5:5" x14ac:dyDescent="0.3">
      <c r="E1396" s="2"/>
    </row>
    <row r="1397" spans="5:5" x14ac:dyDescent="0.3">
      <c r="E1397" s="2"/>
    </row>
    <row r="1398" spans="5:5" x14ac:dyDescent="0.3">
      <c r="E1398" s="2"/>
    </row>
    <row r="1399" spans="5:5" x14ac:dyDescent="0.3">
      <c r="E1399" s="2"/>
    </row>
    <row r="1400" spans="5:5" x14ac:dyDescent="0.3">
      <c r="E1400" s="2"/>
    </row>
    <row r="1401" spans="5:5" x14ac:dyDescent="0.3">
      <c r="E1401" s="2"/>
    </row>
    <row r="1402" spans="5:5" x14ac:dyDescent="0.3">
      <c r="E1402" s="2"/>
    </row>
    <row r="1403" spans="5:5" x14ac:dyDescent="0.3">
      <c r="E1403" s="2"/>
    </row>
    <row r="1404" spans="5:5" x14ac:dyDescent="0.3">
      <c r="E1404" s="2"/>
    </row>
    <row r="1405" spans="5:5" x14ac:dyDescent="0.3">
      <c r="E1405" s="2"/>
    </row>
    <row r="1406" spans="5:5" x14ac:dyDescent="0.3">
      <c r="E1406" s="2"/>
    </row>
    <row r="1407" spans="5:5" x14ac:dyDescent="0.3">
      <c r="E1407" s="2"/>
    </row>
    <row r="1408" spans="5:5" x14ac:dyDescent="0.3">
      <c r="E1408" s="2"/>
    </row>
    <row r="1409" spans="5:5" x14ac:dyDescent="0.3">
      <c r="E1409" s="2"/>
    </row>
    <row r="1410" spans="5:5" x14ac:dyDescent="0.3">
      <c r="E1410" s="2"/>
    </row>
    <row r="1411" spans="5:5" x14ac:dyDescent="0.3">
      <c r="E1411" s="2"/>
    </row>
    <row r="1412" spans="5:5" x14ac:dyDescent="0.3">
      <c r="E1412" s="2"/>
    </row>
    <row r="1413" spans="5:5" x14ac:dyDescent="0.3">
      <c r="E1413" s="2"/>
    </row>
    <row r="1414" spans="5:5" x14ac:dyDescent="0.3">
      <c r="E1414" s="2"/>
    </row>
    <row r="1415" spans="5:5" x14ac:dyDescent="0.3">
      <c r="E1415" s="2"/>
    </row>
    <row r="1416" spans="5:5" x14ac:dyDescent="0.3">
      <c r="E1416" s="2"/>
    </row>
    <row r="1417" spans="5:5" x14ac:dyDescent="0.3">
      <c r="E1417" s="2"/>
    </row>
    <row r="1418" spans="5:5" x14ac:dyDescent="0.3">
      <c r="E1418" s="2"/>
    </row>
    <row r="1419" spans="5:5" x14ac:dyDescent="0.3">
      <c r="E1419" s="2"/>
    </row>
    <row r="1420" spans="5:5" x14ac:dyDescent="0.3">
      <c r="E1420" s="2"/>
    </row>
    <row r="1421" spans="5:5" x14ac:dyDescent="0.3">
      <c r="E1421" s="2"/>
    </row>
    <row r="1422" spans="5:5" x14ac:dyDescent="0.3">
      <c r="E1422" s="2"/>
    </row>
    <row r="1423" spans="5:5" x14ac:dyDescent="0.3">
      <c r="E1423" s="2"/>
    </row>
    <row r="1424" spans="5:5" x14ac:dyDescent="0.3">
      <c r="E1424" s="2"/>
    </row>
    <row r="1425" spans="5:5" x14ac:dyDescent="0.3">
      <c r="E1425" s="2"/>
    </row>
    <row r="1426" spans="5:5" x14ac:dyDescent="0.3">
      <c r="E1426" s="2"/>
    </row>
    <row r="1427" spans="5:5" x14ac:dyDescent="0.3">
      <c r="E1427" s="2"/>
    </row>
    <row r="1428" spans="5:5" x14ac:dyDescent="0.3">
      <c r="E1428" s="2"/>
    </row>
    <row r="1429" spans="5:5" x14ac:dyDescent="0.3">
      <c r="E1429" s="2"/>
    </row>
    <row r="1430" spans="5:5" x14ac:dyDescent="0.3">
      <c r="E1430" s="2"/>
    </row>
    <row r="1431" spans="5:5" x14ac:dyDescent="0.3">
      <c r="E1431" s="2"/>
    </row>
    <row r="1432" spans="5:5" x14ac:dyDescent="0.3">
      <c r="E1432" s="2"/>
    </row>
    <row r="1433" spans="5:5" x14ac:dyDescent="0.3">
      <c r="E1433" s="2"/>
    </row>
    <row r="1434" spans="5:5" x14ac:dyDescent="0.3">
      <c r="E1434" s="2"/>
    </row>
    <row r="1435" spans="5:5" x14ac:dyDescent="0.3">
      <c r="E1435" s="2"/>
    </row>
    <row r="1436" spans="5:5" x14ac:dyDescent="0.3">
      <c r="E1436" s="2"/>
    </row>
    <row r="1437" spans="5:5" x14ac:dyDescent="0.3">
      <c r="E1437" s="2"/>
    </row>
    <row r="1438" spans="5:5" x14ac:dyDescent="0.3">
      <c r="E1438" s="2"/>
    </row>
    <row r="1439" spans="5:5" x14ac:dyDescent="0.3">
      <c r="E1439" s="2"/>
    </row>
    <row r="1440" spans="5:5" x14ac:dyDescent="0.3">
      <c r="E1440" s="2"/>
    </row>
    <row r="1441" spans="5:5" x14ac:dyDescent="0.3">
      <c r="E1441" s="2"/>
    </row>
    <row r="1442" spans="5:5" x14ac:dyDescent="0.3">
      <c r="E1442" s="2"/>
    </row>
    <row r="1443" spans="5:5" x14ac:dyDescent="0.3">
      <c r="E1443" s="2"/>
    </row>
    <row r="1444" spans="5:5" x14ac:dyDescent="0.3">
      <c r="E1444" s="2"/>
    </row>
    <row r="1445" spans="5:5" x14ac:dyDescent="0.3">
      <c r="E1445" s="2"/>
    </row>
    <row r="1446" spans="5:5" x14ac:dyDescent="0.3">
      <c r="E1446" s="2"/>
    </row>
    <row r="1447" spans="5:5" x14ac:dyDescent="0.3">
      <c r="E1447" s="2"/>
    </row>
    <row r="1448" spans="5:5" x14ac:dyDescent="0.3">
      <c r="E1448" s="2"/>
    </row>
    <row r="1449" spans="5:5" x14ac:dyDescent="0.3">
      <c r="E1449" s="2"/>
    </row>
    <row r="1450" spans="5:5" x14ac:dyDescent="0.3">
      <c r="E1450" s="2"/>
    </row>
    <row r="1451" spans="5:5" x14ac:dyDescent="0.3">
      <c r="E1451" s="2"/>
    </row>
    <row r="1452" spans="5:5" x14ac:dyDescent="0.3">
      <c r="E1452" s="2"/>
    </row>
    <row r="1453" spans="5:5" x14ac:dyDescent="0.3">
      <c r="E1453" s="2"/>
    </row>
    <row r="1454" spans="5:5" x14ac:dyDescent="0.3">
      <c r="E1454" s="2"/>
    </row>
    <row r="1455" spans="5:5" x14ac:dyDescent="0.3">
      <c r="E1455" s="2"/>
    </row>
    <row r="1456" spans="5:5" x14ac:dyDescent="0.3">
      <c r="E1456" s="2"/>
    </row>
    <row r="1457" spans="5:5" x14ac:dyDescent="0.3">
      <c r="E1457" s="2"/>
    </row>
    <row r="1458" spans="5:5" x14ac:dyDescent="0.3">
      <c r="E1458" s="2"/>
    </row>
    <row r="1459" spans="5:5" x14ac:dyDescent="0.3">
      <c r="E1459" s="2"/>
    </row>
    <row r="1460" spans="5:5" x14ac:dyDescent="0.3">
      <c r="E1460" s="2"/>
    </row>
    <row r="1461" spans="5:5" x14ac:dyDescent="0.3">
      <c r="E1461" s="2"/>
    </row>
    <row r="1462" spans="5:5" x14ac:dyDescent="0.3">
      <c r="E1462" s="2"/>
    </row>
    <row r="1463" spans="5:5" x14ac:dyDescent="0.3">
      <c r="E1463" s="2"/>
    </row>
    <row r="1464" spans="5:5" x14ac:dyDescent="0.3">
      <c r="E1464" s="2"/>
    </row>
    <row r="1465" spans="5:5" x14ac:dyDescent="0.3">
      <c r="E1465" s="2"/>
    </row>
    <row r="1466" spans="5:5" x14ac:dyDescent="0.3">
      <c r="E1466" s="2"/>
    </row>
    <row r="1467" spans="5:5" x14ac:dyDescent="0.3">
      <c r="E1467" s="2"/>
    </row>
    <row r="1468" spans="5:5" x14ac:dyDescent="0.3">
      <c r="E1468" s="2"/>
    </row>
    <row r="1469" spans="5:5" x14ac:dyDescent="0.3">
      <c r="E1469" s="2"/>
    </row>
    <row r="1470" spans="5:5" x14ac:dyDescent="0.3">
      <c r="E1470" s="2"/>
    </row>
    <row r="1471" spans="5:5" x14ac:dyDescent="0.3">
      <c r="E1471" s="2"/>
    </row>
    <row r="1472" spans="5:5" x14ac:dyDescent="0.3">
      <c r="E1472" s="2"/>
    </row>
    <row r="1473" spans="5:5" x14ac:dyDescent="0.3">
      <c r="E1473" s="2"/>
    </row>
    <row r="1474" spans="5:5" x14ac:dyDescent="0.3">
      <c r="E1474" s="2"/>
    </row>
    <row r="1475" spans="5:5" x14ac:dyDescent="0.3">
      <c r="E1475" s="2"/>
    </row>
    <row r="1476" spans="5:5" x14ac:dyDescent="0.3">
      <c r="E1476" s="2"/>
    </row>
    <row r="1477" spans="5:5" x14ac:dyDescent="0.3">
      <c r="E1477" s="2"/>
    </row>
    <row r="1478" spans="5:5" x14ac:dyDescent="0.3">
      <c r="E1478" s="2"/>
    </row>
    <row r="1479" spans="5:5" x14ac:dyDescent="0.3">
      <c r="E1479" s="2"/>
    </row>
    <row r="1480" spans="5:5" x14ac:dyDescent="0.3">
      <c r="E1480" s="2"/>
    </row>
    <row r="1481" spans="5:5" x14ac:dyDescent="0.3">
      <c r="E1481" s="2"/>
    </row>
    <row r="1482" spans="5:5" x14ac:dyDescent="0.3">
      <c r="E1482" s="2"/>
    </row>
    <row r="1483" spans="5:5" x14ac:dyDescent="0.3">
      <c r="E1483" s="2"/>
    </row>
    <row r="1484" spans="5:5" x14ac:dyDescent="0.3">
      <c r="E1484" s="2"/>
    </row>
    <row r="1485" spans="5:5" x14ac:dyDescent="0.3">
      <c r="E1485" s="2"/>
    </row>
    <row r="1486" spans="5:5" x14ac:dyDescent="0.3">
      <c r="E1486" s="2"/>
    </row>
    <row r="1487" spans="5:5" x14ac:dyDescent="0.3">
      <c r="E1487" s="2"/>
    </row>
    <row r="1488" spans="5:5" x14ac:dyDescent="0.3">
      <c r="E1488" s="2"/>
    </row>
    <row r="1489" spans="5:5" x14ac:dyDescent="0.3">
      <c r="E1489" s="2"/>
    </row>
    <row r="1490" spans="5:5" x14ac:dyDescent="0.3">
      <c r="E1490" s="2"/>
    </row>
    <row r="1491" spans="5:5" x14ac:dyDescent="0.3">
      <c r="E1491" s="2"/>
    </row>
    <row r="1492" spans="5:5" x14ac:dyDescent="0.3">
      <c r="E1492" s="2"/>
    </row>
    <row r="1493" spans="5:5" x14ac:dyDescent="0.3">
      <c r="E1493" s="2"/>
    </row>
    <row r="1494" spans="5:5" x14ac:dyDescent="0.3">
      <c r="E1494" s="2"/>
    </row>
    <row r="1495" spans="5:5" x14ac:dyDescent="0.3">
      <c r="E1495" s="2"/>
    </row>
    <row r="1496" spans="5:5" x14ac:dyDescent="0.3">
      <c r="E1496" s="2"/>
    </row>
    <row r="1497" spans="5:5" x14ac:dyDescent="0.3">
      <c r="E1497" s="2"/>
    </row>
    <row r="1498" spans="5:5" x14ac:dyDescent="0.3">
      <c r="E1498" s="2"/>
    </row>
    <row r="1499" spans="5:5" x14ac:dyDescent="0.3">
      <c r="E1499" s="2"/>
    </row>
    <row r="1500" spans="5:5" x14ac:dyDescent="0.3">
      <c r="E1500" s="2"/>
    </row>
    <row r="1501" spans="5:5" x14ac:dyDescent="0.3">
      <c r="E1501" s="2"/>
    </row>
    <row r="1502" spans="5:5" x14ac:dyDescent="0.3">
      <c r="E1502" s="2"/>
    </row>
    <row r="1503" spans="5:5" x14ac:dyDescent="0.3">
      <c r="E1503" s="2"/>
    </row>
    <row r="1504" spans="5:5" x14ac:dyDescent="0.3">
      <c r="E1504" s="2"/>
    </row>
    <row r="1505" spans="5:5" x14ac:dyDescent="0.3">
      <c r="E1505" s="2"/>
    </row>
    <row r="1506" spans="5:5" x14ac:dyDescent="0.3">
      <c r="E1506" s="2"/>
    </row>
    <row r="1507" spans="5:5" x14ac:dyDescent="0.3">
      <c r="E1507" s="2"/>
    </row>
    <row r="1508" spans="5:5" x14ac:dyDescent="0.3">
      <c r="E1508" s="2"/>
    </row>
    <row r="1509" spans="5:5" x14ac:dyDescent="0.3">
      <c r="E1509" s="2"/>
    </row>
    <row r="1510" spans="5:5" x14ac:dyDescent="0.3">
      <c r="E1510" s="2"/>
    </row>
    <row r="1511" spans="5:5" x14ac:dyDescent="0.3">
      <c r="E1511" s="2"/>
    </row>
    <row r="1512" spans="5:5" x14ac:dyDescent="0.3">
      <c r="E1512" s="2"/>
    </row>
    <row r="1513" spans="5:5" x14ac:dyDescent="0.3">
      <c r="E1513" s="2"/>
    </row>
    <row r="1514" spans="5:5" x14ac:dyDescent="0.3">
      <c r="E1514" s="2"/>
    </row>
    <row r="1515" spans="5:5" x14ac:dyDescent="0.3">
      <c r="E1515" s="2"/>
    </row>
    <row r="1516" spans="5:5" x14ac:dyDescent="0.3">
      <c r="E1516" s="2"/>
    </row>
    <row r="1517" spans="5:5" x14ac:dyDescent="0.3">
      <c r="E1517" s="2"/>
    </row>
    <row r="1518" spans="5:5" x14ac:dyDescent="0.3">
      <c r="E1518" s="2"/>
    </row>
    <row r="1519" spans="5:5" x14ac:dyDescent="0.3">
      <c r="E1519" s="2"/>
    </row>
    <row r="1520" spans="5:5" x14ac:dyDescent="0.3">
      <c r="E1520" s="2"/>
    </row>
    <row r="1521" spans="5:5" x14ac:dyDescent="0.3">
      <c r="E1521" s="2"/>
    </row>
    <row r="1522" spans="5:5" x14ac:dyDescent="0.3">
      <c r="E1522" s="2"/>
    </row>
    <row r="1523" spans="5:5" x14ac:dyDescent="0.3">
      <c r="E1523" s="2"/>
    </row>
    <row r="1524" spans="5:5" x14ac:dyDescent="0.3">
      <c r="E1524" s="2"/>
    </row>
    <row r="1525" spans="5:5" x14ac:dyDescent="0.3">
      <c r="E1525" s="2"/>
    </row>
    <row r="1526" spans="5:5" x14ac:dyDescent="0.3">
      <c r="E1526" s="2"/>
    </row>
    <row r="1527" spans="5:5" x14ac:dyDescent="0.3">
      <c r="E1527" s="2"/>
    </row>
    <row r="1528" spans="5:5" x14ac:dyDescent="0.3">
      <c r="E1528" s="2"/>
    </row>
    <row r="1529" spans="5:5" x14ac:dyDescent="0.3">
      <c r="E1529" s="2"/>
    </row>
    <row r="1530" spans="5:5" x14ac:dyDescent="0.3">
      <c r="E1530" s="2"/>
    </row>
    <row r="1531" spans="5:5" x14ac:dyDescent="0.3">
      <c r="E1531" s="2"/>
    </row>
    <row r="1532" spans="5:5" x14ac:dyDescent="0.3">
      <c r="E1532" s="2"/>
    </row>
    <row r="1533" spans="5:5" x14ac:dyDescent="0.3">
      <c r="E1533" s="2"/>
    </row>
    <row r="1534" spans="5:5" x14ac:dyDescent="0.3">
      <c r="E1534" s="2"/>
    </row>
    <row r="1535" spans="5:5" x14ac:dyDescent="0.3">
      <c r="E1535" s="2"/>
    </row>
    <row r="1536" spans="5:5" x14ac:dyDescent="0.3">
      <c r="E1536" s="2"/>
    </row>
    <row r="1537" spans="5:5" x14ac:dyDescent="0.3">
      <c r="E1537" s="2"/>
    </row>
    <row r="1538" spans="5:5" x14ac:dyDescent="0.3">
      <c r="E1538" s="2"/>
    </row>
    <row r="1539" spans="5:5" x14ac:dyDescent="0.3">
      <c r="E1539" s="2"/>
    </row>
    <row r="1540" spans="5:5" x14ac:dyDescent="0.3">
      <c r="E1540" s="2"/>
    </row>
    <row r="1541" spans="5:5" x14ac:dyDescent="0.3">
      <c r="E1541" s="2"/>
    </row>
    <row r="1542" spans="5:5" x14ac:dyDescent="0.3">
      <c r="E1542" s="2"/>
    </row>
    <row r="1543" spans="5:5" x14ac:dyDescent="0.3">
      <c r="E1543" s="2"/>
    </row>
    <row r="1544" spans="5:5" x14ac:dyDescent="0.3">
      <c r="E1544" s="2"/>
    </row>
    <row r="1545" spans="5:5" x14ac:dyDescent="0.3">
      <c r="E1545" s="2"/>
    </row>
    <row r="1546" spans="5:5" x14ac:dyDescent="0.3">
      <c r="E1546" s="2"/>
    </row>
    <row r="1547" spans="5:5" x14ac:dyDescent="0.3">
      <c r="E1547" s="2"/>
    </row>
    <row r="1548" spans="5:5" x14ac:dyDescent="0.3">
      <c r="E1548" s="2"/>
    </row>
    <row r="1549" spans="5:5" x14ac:dyDescent="0.3">
      <c r="E1549" s="2"/>
    </row>
    <row r="1550" spans="5:5" x14ac:dyDescent="0.3">
      <c r="E1550" s="2"/>
    </row>
    <row r="1551" spans="5:5" x14ac:dyDescent="0.3">
      <c r="E1551" s="2"/>
    </row>
    <row r="1552" spans="5:5" x14ac:dyDescent="0.3">
      <c r="E1552" s="2"/>
    </row>
    <row r="1553" spans="5:5" x14ac:dyDescent="0.3">
      <c r="E1553" s="2"/>
    </row>
    <row r="1554" spans="5:5" x14ac:dyDescent="0.3">
      <c r="E1554" s="2"/>
    </row>
    <row r="1555" spans="5:5" x14ac:dyDescent="0.3">
      <c r="E1555" s="2"/>
    </row>
    <row r="1556" spans="5:5" x14ac:dyDescent="0.3">
      <c r="E1556" s="2"/>
    </row>
    <row r="1557" spans="5:5" x14ac:dyDescent="0.3">
      <c r="E1557" s="2"/>
    </row>
    <row r="1558" spans="5:5" x14ac:dyDescent="0.3">
      <c r="E1558" s="2"/>
    </row>
    <row r="1559" spans="5:5" x14ac:dyDescent="0.3">
      <c r="E1559" s="2"/>
    </row>
    <row r="1560" spans="5:5" x14ac:dyDescent="0.3">
      <c r="E1560" s="2"/>
    </row>
    <row r="1561" spans="5:5" x14ac:dyDescent="0.3">
      <c r="E1561" s="2"/>
    </row>
    <row r="1562" spans="5:5" x14ac:dyDescent="0.3">
      <c r="E1562" s="2"/>
    </row>
    <row r="1563" spans="5:5" x14ac:dyDescent="0.3">
      <c r="E1563" s="2"/>
    </row>
    <row r="1564" spans="5:5" x14ac:dyDescent="0.3">
      <c r="E1564" s="2"/>
    </row>
    <row r="1565" spans="5:5" x14ac:dyDescent="0.3">
      <c r="E1565" s="2"/>
    </row>
    <row r="1566" spans="5:5" x14ac:dyDescent="0.3">
      <c r="E1566" s="2"/>
    </row>
    <row r="1567" spans="5:5" x14ac:dyDescent="0.3">
      <c r="E1567" s="2"/>
    </row>
    <row r="1568" spans="5:5" x14ac:dyDescent="0.3">
      <c r="E1568" s="2"/>
    </row>
    <row r="1569" spans="5:5" x14ac:dyDescent="0.3">
      <c r="E1569" s="2"/>
    </row>
    <row r="1570" spans="5:5" x14ac:dyDescent="0.3">
      <c r="E1570" s="2"/>
    </row>
    <row r="1571" spans="5:5" x14ac:dyDescent="0.3">
      <c r="E1571" s="2"/>
    </row>
    <row r="1572" spans="5:5" x14ac:dyDescent="0.3">
      <c r="E1572" s="2"/>
    </row>
    <row r="1573" spans="5:5" x14ac:dyDescent="0.3">
      <c r="E1573" s="2"/>
    </row>
    <row r="1574" spans="5:5" x14ac:dyDescent="0.3">
      <c r="E1574" s="2"/>
    </row>
    <row r="1575" spans="5:5" x14ac:dyDescent="0.3">
      <c r="E1575" s="2"/>
    </row>
    <row r="1576" spans="5:5" x14ac:dyDescent="0.3">
      <c r="E1576" s="2"/>
    </row>
    <row r="1577" spans="5:5" x14ac:dyDescent="0.3">
      <c r="E1577" s="2"/>
    </row>
    <row r="1578" spans="5:5" x14ac:dyDescent="0.3">
      <c r="E1578" s="2"/>
    </row>
    <row r="1579" spans="5:5" x14ac:dyDescent="0.3">
      <c r="E1579" s="2"/>
    </row>
    <row r="1580" spans="5:5" x14ac:dyDescent="0.3">
      <c r="E1580" s="2"/>
    </row>
    <row r="1581" spans="5:5" x14ac:dyDescent="0.3">
      <c r="E1581" s="2"/>
    </row>
    <row r="1582" spans="5:5" x14ac:dyDescent="0.3">
      <c r="E1582" s="2"/>
    </row>
    <row r="1583" spans="5:5" x14ac:dyDescent="0.3">
      <c r="E1583" s="2"/>
    </row>
    <row r="1584" spans="5:5" x14ac:dyDescent="0.3">
      <c r="E1584" s="2"/>
    </row>
    <row r="1585" spans="5:5" x14ac:dyDescent="0.3">
      <c r="E1585" s="2"/>
    </row>
    <row r="1586" spans="5:5" x14ac:dyDescent="0.3">
      <c r="E1586" s="2"/>
    </row>
    <row r="1587" spans="5:5" x14ac:dyDescent="0.3">
      <c r="E1587" s="2"/>
    </row>
    <row r="1588" spans="5:5" x14ac:dyDescent="0.3">
      <c r="E1588" s="2"/>
    </row>
    <row r="1589" spans="5:5" x14ac:dyDescent="0.3">
      <c r="E1589" s="2"/>
    </row>
    <row r="1590" spans="5:5" x14ac:dyDescent="0.3">
      <c r="E1590" s="2"/>
    </row>
    <row r="1591" spans="5:5" x14ac:dyDescent="0.3">
      <c r="E1591" s="2"/>
    </row>
    <row r="1592" spans="5:5" x14ac:dyDescent="0.3">
      <c r="E1592" s="2"/>
    </row>
    <row r="1593" spans="5:5" x14ac:dyDescent="0.3">
      <c r="E1593" s="2"/>
    </row>
    <row r="1594" spans="5:5" x14ac:dyDescent="0.3">
      <c r="E1594" s="2"/>
    </row>
    <row r="1595" spans="5:5" x14ac:dyDescent="0.3">
      <c r="E1595" s="2"/>
    </row>
    <row r="1596" spans="5:5" x14ac:dyDescent="0.3">
      <c r="E1596" s="2"/>
    </row>
    <row r="1597" spans="5:5" x14ac:dyDescent="0.3">
      <c r="E1597" s="2"/>
    </row>
    <row r="1598" spans="5:5" x14ac:dyDescent="0.3">
      <c r="E1598" s="2"/>
    </row>
    <row r="1599" spans="5:5" x14ac:dyDescent="0.3">
      <c r="E1599" s="2"/>
    </row>
    <row r="1600" spans="5:5" x14ac:dyDescent="0.3">
      <c r="E1600" s="2"/>
    </row>
    <row r="1601" spans="5:5" x14ac:dyDescent="0.3">
      <c r="E1601" s="2"/>
    </row>
    <row r="1602" spans="5:5" x14ac:dyDescent="0.3">
      <c r="E1602" s="2"/>
    </row>
    <row r="1603" spans="5:5" x14ac:dyDescent="0.3">
      <c r="E1603" s="2"/>
    </row>
    <row r="1604" spans="5:5" x14ac:dyDescent="0.3">
      <c r="E1604" s="2"/>
    </row>
    <row r="1605" spans="5:5" x14ac:dyDescent="0.3">
      <c r="E1605" s="2"/>
    </row>
    <row r="1606" spans="5:5" x14ac:dyDescent="0.3">
      <c r="E1606" s="2"/>
    </row>
    <row r="1607" spans="5:5" x14ac:dyDescent="0.3">
      <c r="E1607" s="2"/>
    </row>
    <row r="1608" spans="5:5" x14ac:dyDescent="0.3">
      <c r="E1608" s="2"/>
    </row>
    <row r="1609" spans="5:5" x14ac:dyDescent="0.3">
      <c r="E1609" s="2"/>
    </row>
    <row r="1610" spans="5:5" x14ac:dyDescent="0.3">
      <c r="E1610" s="2"/>
    </row>
    <row r="1611" spans="5:5" x14ac:dyDescent="0.3">
      <c r="E1611" s="2"/>
    </row>
    <row r="1612" spans="5:5" x14ac:dyDescent="0.3">
      <c r="E1612" s="2"/>
    </row>
    <row r="1613" spans="5:5" x14ac:dyDescent="0.3">
      <c r="E1613" s="2"/>
    </row>
    <row r="1614" spans="5:5" x14ac:dyDescent="0.3">
      <c r="E1614" s="2"/>
    </row>
    <row r="1615" spans="5:5" x14ac:dyDescent="0.3">
      <c r="E1615" s="2"/>
    </row>
    <row r="1616" spans="5:5" x14ac:dyDescent="0.3">
      <c r="E1616" s="2"/>
    </row>
    <row r="1617" spans="5:5" x14ac:dyDescent="0.3">
      <c r="E1617" s="2"/>
    </row>
    <row r="1618" spans="5:5" x14ac:dyDescent="0.3">
      <c r="E1618" s="2"/>
    </row>
    <row r="1619" spans="5:5" x14ac:dyDescent="0.3">
      <c r="E1619" s="2"/>
    </row>
    <row r="1620" spans="5:5" x14ac:dyDescent="0.3">
      <c r="E1620" s="2"/>
    </row>
    <row r="1621" spans="5:5" x14ac:dyDescent="0.3">
      <c r="E1621" s="2"/>
    </row>
    <row r="1622" spans="5:5" x14ac:dyDescent="0.3">
      <c r="E1622" s="2"/>
    </row>
    <row r="1623" spans="5:5" x14ac:dyDescent="0.3">
      <c r="E1623" s="2"/>
    </row>
    <row r="1624" spans="5:5" x14ac:dyDescent="0.3">
      <c r="E1624" s="2"/>
    </row>
    <row r="1625" spans="5:5" x14ac:dyDescent="0.3">
      <c r="E1625" s="2"/>
    </row>
    <row r="1626" spans="5:5" x14ac:dyDescent="0.3">
      <c r="E1626" s="2"/>
    </row>
    <row r="1627" spans="5:5" x14ac:dyDescent="0.3">
      <c r="E1627" s="2"/>
    </row>
    <row r="1628" spans="5:5" x14ac:dyDescent="0.3">
      <c r="E1628" s="2"/>
    </row>
    <row r="1629" spans="5:5" x14ac:dyDescent="0.3">
      <c r="E1629" s="2"/>
    </row>
    <row r="1630" spans="5:5" x14ac:dyDescent="0.3">
      <c r="E1630" s="2"/>
    </row>
    <row r="1631" spans="5:5" x14ac:dyDescent="0.3">
      <c r="E1631" s="2"/>
    </row>
    <row r="1632" spans="5:5" x14ac:dyDescent="0.3">
      <c r="E1632" s="2"/>
    </row>
    <row r="1633" spans="5:5" x14ac:dyDescent="0.3">
      <c r="E1633" s="2"/>
    </row>
    <row r="1634" spans="5:5" x14ac:dyDescent="0.3">
      <c r="E1634" s="2"/>
    </row>
    <row r="1635" spans="5:5" x14ac:dyDescent="0.3">
      <c r="E1635" s="2"/>
    </row>
    <row r="1636" spans="5:5" x14ac:dyDescent="0.3">
      <c r="E1636" s="2"/>
    </row>
    <row r="1637" spans="5:5" x14ac:dyDescent="0.3">
      <c r="E1637" s="2"/>
    </row>
    <row r="1638" spans="5:5" x14ac:dyDescent="0.3">
      <c r="E1638" s="2"/>
    </row>
    <row r="1639" spans="5:5" x14ac:dyDescent="0.3">
      <c r="E1639" s="2"/>
    </row>
    <row r="1640" spans="5:5" x14ac:dyDescent="0.3">
      <c r="E1640" s="2"/>
    </row>
    <row r="1641" spans="5:5" x14ac:dyDescent="0.3">
      <c r="E1641" s="2"/>
    </row>
    <row r="1642" spans="5:5" x14ac:dyDescent="0.3">
      <c r="E1642" s="2"/>
    </row>
    <row r="1643" spans="5:5" x14ac:dyDescent="0.3">
      <c r="E1643" s="2"/>
    </row>
    <row r="1644" spans="5:5" x14ac:dyDescent="0.3">
      <c r="E1644" s="2"/>
    </row>
    <row r="1645" spans="5:5" x14ac:dyDescent="0.3">
      <c r="E1645" s="2"/>
    </row>
    <row r="1646" spans="5:5" x14ac:dyDescent="0.3">
      <c r="E1646" s="2"/>
    </row>
    <row r="1647" spans="5:5" x14ac:dyDescent="0.3">
      <c r="E1647" s="2"/>
    </row>
    <row r="1648" spans="5:5" x14ac:dyDescent="0.3">
      <c r="E1648" s="2"/>
    </row>
    <row r="1649" spans="5:5" x14ac:dyDescent="0.3">
      <c r="E1649" s="2"/>
    </row>
    <row r="1650" spans="5:5" x14ac:dyDescent="0.3">
      <c r="E1650" s="2"/>
    </row>
    <row r="1651" spans="5:5" x14ac:dyDescent="0.3">
      <c r="E1651" s="2"/>
    </row>
    <row r="1652" spans="5:5" x14ac:dyDescent="0.3">
      <c r="E1652" s="2"/>
    </row>
    <row r="1653" spans="5:5" x14ac:dyDescent="0.3">
      <c r="E1653" s="2"/>
    </row>
    <row r="1654" spans="5:5" x14ac:dyDescent="0.3">
      <c r="E1654" s="2"/>
    </row>
    <row r="1655" spans="5:5" x14ac:dyDescent="0.3">
      <c r="E1655" s="2"/>
    </row>
    <row r="1656" spans="5:5" x14ac:dyDescent="0.3">
      <c r="E1656" s="2"/>
    </row>
    <row r="1657" spans="5:5" x14ac:dyDescent="0.3">
      <c r="E1657" s="2"/>
    </row>
    <row r="1658" spans="5:5" x14ac:dyDescent="0.3">
      <c r="E1658" s="2"/>
    </row>
    <row r="1659" spans="5:5" x14ac:dyDescent="0.3">
      <c r="E1659" s="2"/>
    </row>
    <row r="1660" spans="5:5" x14ac:dyDescent="0.3">
      <c r="E1660" s="2"/>
    </row>
    <row r="1661" spans="5:5" x14ac:dyDescent="0.3">
      <c r="E1661" s="2"/>
    </row>
    <row r="1662" spans="5:5" x14ac:dyDescent="0.3">
      <c r="E1662" s="2"/>
    </row>
    <row r="1663" spans="5:5" x14ac:dyDescent="0.3">
      <c r="E1663" s="2"/>
    </row>
    <row r="1664" spans="5:5" x14ac:dyDescent="0.3">
      <c r="E1664" s="2"/>
    </row>
    <row r="1665" spans="5:5" x14ac:dyDescent="0.3">
      <c r="E1665" s="2"/>
    </row>
    <row r="1666" spans="5:5" x14ac:dyDescent="0.3">
      <c r="E1666" s="2"/>
    </row>
    <row r="1667" spans="5:5" x14ac:dyDescent="0.3">
      <c r="E1667" s="2"/>
    </row>
    <row r="1668" spans="5:5" x14ac:dyDescent="0.3">
      <c r="E1668" s="2"/>
    </row>
    <row r="1669" spans="5:5" x14ac:dyDescent="0.3">
      <c r="E1669" s="2"/>
    </row>
    <row r="1670" spans="5:5" x14ac:dyDescent="0.3">
      <c r="E1670" s="2"/>
    </row>
    <row r="1671" spans="5:5" x14ac:dyDescent="0.3">
      <c r="E1671" s="2"/>
    </row>
    <row r="1672" spans="5:5" x14ac:dyDescent="0.3">
      <c r="E1672" s="2"/>
    </row>
    <row r="1673" spans="5:5" x14ac:dyDescent="0.3">
      <c r="E1673" s="2"/>
    </row>
    <row r="1674" spans="5:5" x14ac:dyDescent="0.3">
      <c r="E1674" s="2"/>
    </row>
    <row r="1675" spans="5:5" x14ac:dyDescent="0.3">
      <c r="E1675" s="2"/>
    </row>
    <row r="1676" spans="5:5" x14ac:dyDescent="0.3">
      <c r="E1676" s="2"/>
    </row>
    <row r="1677" spans="5:5" x14ac:dyDescent="0.3">
      <c r="E1677" s="2"/>
    </row>
    <row r="1678" spans="5:5" x14ac:dyDescent="0.3">
      <c r="E1678" s="2"/>
    </row>
    <row r="1679" spans="5:5" x14ac:dyDescent="0.3">
      <c r="E1679" s="2"/>
    </row>
    <row r="1680" spans="5:5" x14ac:dyDescent="0.3">
      <c r="E1680" s="2"/>
    </row>
    <row r="1681" spans="5:5" x14ac:dyDescent="0.3">
      <c r="E1681" s="2"/>
    </row>
    <row r="1682" spans="5:5" x14ac:dyDescent="0.3">
      <c r="E1682" s="2"/>
    </row>
    <row r="1683" spans="5:5" x14ac:dyDescent="0.3">
      <c r="E1683" s="2"/>
    </row>
    <row r="1684" spans="5:5" x14ac:dyDescent="0.3">
      <c r="E1684" s="2"/>
    </row>
    <row r="1685" spans="5:5" x14ac:dyDescent="0.3">
      <c r="E1685" s="2"/>
    </row>
    <row r="1686" spans="5:5" x14ac:dyDescent="0.3">
      <c r="E1686" s="2"/>
    </row>
    <row r="1687" spans="5:5" x14ac:dyDescent="0.3">
      <c r="E1687" s="2"/>
    </row>
    <row r="1688" spans="5:5" x14ac:dyDescent="0.3">
      <c r="E1688" s="2"/>
    </row>
    <row r="1689" spans="5:5" x14ac:dyDescent="0.3">
      <c r="E1689" s="2"/>
    </row>
    <row r="1690" spans="5:5" x14ac:dyDescent="0.3">
      <c r="E1690" s="2"/>
    </row>
    <row r="1691" spans="5:5" x14ac:dyDescent="0.3">
      <c r="E1691" s="2"/>
    </row>
    <row r="1692" spans="5:5" x14ac:dyDescent="0.3">
      <c r="E1692" s="2"/>
    </row>
    <row r="1693" spans="5:5" x14ac:dyDescent="0.3">
      <c r="E1693" s="2"/>
    </row>
    <row r="1694" spans="5:5" x14ac:dyDescent="0.3">
      <c r="E1694" s="2"/>
    </row>
    <row r="1695" spans="5:5" x14ac:dyDescent="0.3">
      <c r="E1695" s="2"/>
    </row>
    <row r="1696" spans="5:5" x14ac:dyDescent="0.3">
      <c r="E1696" s="2"/>
    </row>
    <row r="1697" spans="5:5" x14ac:dyDescent="0.3">
      <c r="E1697" s="2"/>
    </row>
    <row r="1698" spans="5:5" x14ac:dyDescent="0.3">
      <c r="E1698" s="2"/>
    </row>
    <row r="1699" spans="5:5" x14ac:dyDescent="0.3">
      <c r="E1699" s="2"/>
    </row>
    <row r="1700" spans="5:5" x14ac:dyDescent="0.3">
      <c r="E1700" s="2"/>
    </row>
    <row r="1701" spans="5:5" x14ac:dyDescent="0.3">
      <c r="E1701" s="2"/>
    </row>
    <row r="1702" spans="5:5" x14ac:dyDescent="0.3">
      <c r="E1702" s="2"/>
    </row>
    <row r="1703" spans="5:5" x14ac:dyDescent="0.3">
      <c r="E1703" s="2"/>
    </row>
    <row r="1704" spans="5:5" x14ac:dyDescent="0.3">
      <c r="E1704" s="2"/>
    </row>
    <row r="1705" spans="5:5" x14ac:dyDescent="0.3">
      <c r="E1705" s="2"/>
    </row>
    <row r="1706" spans="5:5" x14ac:dyDescent="0.3">
      <c r="E1706" s="2"/>
    </row>
    <row r="1707" spans="5:5" x14ac:dyDescent="0.3">
      <c r="E1707" s="2"/>
    </row>
    <row r="1708" spans="5:5" x14ac:dyDescent="0.3">
      <c r="E1708" s="2"/>
    </row>
    <row r="1709" spans="5:5" x14ac:dyDescent="0.3">
      <c r="E1709" s="2"/>
    </row>
    <row r="1710" spans="5:5" x14ac:dyDescent="0.3">
      <c r="E1710" s="2"/>
    </row>
    <row r="1711" spans="5:5" x14ac:dyDescent="0.3">
      <c r="E1711" s="2"/>
    </row>
    <row r="1712" spans="5:5" x14ac:dyDescent="0.3">
      <c r="E1712" s="2"/>
    </row>
    <row r="1713" spans="5:5" x14ac:dyDescent="0.3">
      <c r="E1713" s="2"/>
    </row>
    <row r="1714" spans="5:5" x14ac:dyDescent="0.3">
      <c r="E1714" s="2"/>
    </row>
    <row r="1715" spans="5:5" x14ac:dyDescent="0.3">
      <c r="E1715" s="2"/>
    </row>
    <row r="1716" spans="5:5" x14ac:dyDescent="0.3">
      <c r="E1716" s="2"/>
    </row>
    <row r="1717" spans="5:5" x14ac:dyDescent="0.3">
      <c r="E1717" s="2"/>
    </row>
    <row r="1718" spans="5:5" x14ac:dyDescent="0.3">
      <c r="E1718" s="2"/>
    </row>
    <row r="1719" spans="5:5" x14ac:dyDescent="0.3">
      <c r="E1719" s="2"/>
    </row>
    <row r="1720" spans="5:5" x14ac:dyDescent="0.3">
      <c r="E1720" s="2"/>
    </row>
    <row r="1721" spans="5:5" x14ac:dyDescent="0.3">
      <c r="E1721" s="2"/>
    </row>
    <row r="1722" spans="5:5" x14ac:dyDescent="0.3">
      <c r="E1722" s="2"/>
    </row>
    <row r="1723" spans="5:5" x14ac:dyDescent="0.3">
      <c r="E1723" s="2"/>
    </row>
    <row r="1724" spans="5:5" x14ac:dyDescent="0.3">
      <c r="E1724" s="2"/>
    </row>
    <row r="1725" spans="5:5" x14ac:dyDescent="0.3">
      <c r="E1725" s="2"/>
    </row>
    <row r="1726" spans="5:5" x14ac:dyDescent="0.3">
      <c r="E1726" s="2"/>
    </row>
    <row r="1727" spans="5:5" x14ac:dyDescent="0.3">
      <c r="E1727" s="2"/>
    </row>
    <row r="1728" spans="5:5" x14ac:dyDescent="0.3">
      <c r="E1728" s="2"/>
    </row>
    <row r="1729" spans="5:5" x14ac:dyDescent="0.3">
      <c r="E1729" s="2"/>
    </row>
    <row r="1730" spans="5:5" x14ac:dyDescent="0.3">
      <c r="E1730" s="2"/>
    </row>
    <row r="1731" spans="5:5" x14ac:dyDescent="0.3">
      <c r="E1731" s="2"/>
    </row>
    <row r="1732" spans="5:5" x14ac:dyDescent="0.3">
      <c r="E1732" s="2"/>
    </row>
    <row r="1733" spans="5:5" x14ac:dyDescent="0.3">
      <c r="E1733" s="2"/>
    </row>
    <row r="1734" spans="5:5" x14ac:dyDescent="0.3">
      <c r="E1734" s="2"/>
    </row>
    <row r="1735" spans="5:5" x14ac:dyDescent="0.3">
      <c r="E1735" s="2"/>
    </row>
    <row r="1736" spans="5:5" x14ac:dyDescent="0.3">
      <c r="E1736" s="2"/>
    </row>
    <row r="1737" spans="5:5" x14ac:dyDescent="0.3">
      <c r="E1737" s="2"/>
    </row>
    <row r="1738" spans="5:5" x14ac:dyDescent="0.3">
      <c r="E1738" s="2"/>
    </row>
    <row r="1739" spans="5:5" x14ac:dyDescent="0.3">
      <c r="E1739" s="2"/>
    </row>
    <row r="1740" spans="5:5" x14ac:dyDescent="0.3">
      <c r="E1740" s="2"/>
    </row>
    <row r="1741" spans="5:5" x14ac:dyDescent="0.3">
      <c r="E1741" s="2"/>
    </row>
    <row r="1742" spans="5:5" x14ac:dyDescent="0.3">
      <c r="E1742" s="2"/>
    </row>
    <row r="1743" spans="5:5" x14ac:dyDescent="0.3">
      <c r="E1743" s="2"/>
    </row>
    <row r="1744" spans="5:5" x14ac:dyDescent="0.3">
      <c r="E1744" s="2"/>
    </row>
    <row r="1745" spans="5:5" x14ac:dyDescent="0.3">
      <c r="E1745" s="2"/>
    </row>
    <row r="1746" spans="5:5" x14ac:dyDescent="0.3">
      <c r="E1746" s="2"/>
    </row>
    <row r="1747" spans="5:5" x14ac:dyDescent="0.3">
      <c r="E1747" s="2"/>
    </row>
    <row r="1748" spans="5:5" x14ac:dyDescent="0.3">
      <c r="E1748" s="2"/>
    </row>
    <row r="1749" spans="5:5" x14ac:dyDescent="0.3">
      <c r="E1749" s="2"/>
    </row>
    <row r="1750" spans="5:5" x14ac:dyDescent="0.3">
      <c r="E1750" s="2"/>
    </row>
    <row r="1751" spans="5:5" x14ac:dyDescent="0.3">
      <c r="E1751" s="2"/>
    </row>
    <row r="1752" spans="5:5" x14ac:dyDescent="0.3">
      <c r="E1752" s="2"/>
    </row>
    <row r="1753" spans="5:5" x14ac:dyDescent="0.3">
      <c r="E1753" s="2"/>
    </row>
    <row r="1754" spans="5:5" x14ac:dyDescent="0.3">
      <c r="E1754" s="2"/>
    </row>
    <row r="1755" spans="5:5" x14ac:dyDescent="0.3">
      <c r="E1755" s="2"/>
    </row>
    <row r="1756" spans="5:5" x14ac:dyDescent="0.3">
      <c r="E1756" s="2"/>
    </row>
    <row r="1757" spans="5:5" x14ac:dyDescent="0.3">
      <c r="E1757" s="2"/>
    </row>
    <row r="1758" spans="5:5" x14ac:dyDescent="0.3">
      <c r="E1758" s="2"/>
    </row>
    <row r="1759" spans="5:5" x14ac:dyDescent="0.3">
      <c r="E1759" s="2"/>
    </row>
    <row r="1760" spans="5:5" x14ac:dyDescent="0.3">
      <c r="E1760" s="2"/>
    </row>
    <row r="1761" spans="5:5" x14ac:dyDescent="0.3">
      <c r="E1761" s="2"/>
    </row>
    <row r="1762" spans="5:5" x14ac:dyDescent="0.3">
      <c r="E1762" s="2"/>
    </row>
    <row r="1763" spans="5:5" x14ac:dyDescent="0.3">
      <c r="E1763" s="2"/>
    </row>
    <row r="1764" spans="5:5" x14ac:dyDescent="0.3">
      <c r="E1764" s="2"/>
    </row>
    <row r="1765" spans="5:5" x14ac:dyDescent="0.3">
      <c r="E1765" s="2"/>
    </row>
    <row r="1766" spans="5:5" x14ac:dyDescent="0.3">
      <c r="E1766" s="2"/>
    </row>
    <row r="1767" spans="5:5" x14ac:dyDescent="0.3">
      <c r="E1767" s="2"/>
    </row>
    <row r="1768" spans="5:5" x14ac:dyDescent="0.3">
      <c r="E1768" s="2"/>
    </row>
    <row r="1769" spans="5:5" x14ac:dyDescent="0.3">
      <c r="E1769" s="2"/>
    </row>
    <row r="1770" spans="5:5" x14ac:dyDescent="0.3">
      <c r="E1770" s="2"/>
    </row>
    <row r="1771" spans="5:5" x14ac:dyDescent="0.3">
      <c r="E1771" s="2"/>
    </row>
    <row r="1772" spans="5:5" x14ac:dyDescent="0.3">
      <c r="E1772" s="2"/>
    </row>
    <row r="1773" spans="5:5" x14ac:dyDescent="0.3">
      <c r="E1773" s="2"/>
    </row>
    <row r="1774" spans="5:5" x14ac:dyDescent="0.3">
      <c r="E1774" s="2"/>
    </row>
    <row r="1775" spans="5:5" x14ac:dyDescent="0.3">
      <c r="E1775" s="2"/>
    </row>
    <row r="1776" spans="5:5" x14ac:dyDescent="0.3">
      <c r="E1776" s="2"/>
    </row>
    <row r="1777" spans="5:5" x14ac:dyDescent="0.3">
      <c r="E1777" s="2"/>
    </row>
    <row r="1778" spans="5:5" x14ac:dyDescent="0.3">
      <c r="E1778" s="2"/>
    </row>
    <row r="1779" spans="5:5" x14ac:dyDescent="0.3">
      <c r="E1779" s="2"/>
    </row>
    <row r="1780" spans="5:5" x14ac:dyDescent="0.3">
      <c r="E1780" s="2"/>
    </row>
    <row r="1781" spans="5:5" x14ac:dyDescent="0.3">
      <c r="E1781" s="2"/>
    </row>
    <row r="1782" spans="5:5" x14ac:dyDescent="0.3">
      <c r="E1782" s="2"/>
    </row>
    <row r="1783" spans="5:5" x14ac:dyDescent="0.3">
      <c r="E1783" s="2"/>
    </row>
    <row r="1784" spans="5:5" x14ac:dyDescent="0.3">
      <c r="E1784" s="2"/>
    </row>
    <row r="1785" spans="5:5" x14ac:dyDescent="0.3">
      <c r="E1785" s="2"/>
    </row>
    <row r="1786" spans="5:5" x14ac:dyDescent="0.3">
      <c r="E1786" s="2"/>
    </row>
    <row r="1787" spans="5:5" x14ac:dyDescent="0.3">
      <c r="E1787" s="2"/>
    </row>
    <row r="1788" spans="5:5" x14ac:dyDescent="0.3">
      <c r="E1788" s="2"/>
    </row>
    <row r="1789" spans="5:5" x14ac:dyDescent="0.3">
      <c r="E1789" s="2"/>
    </row>
    <row r="1790" spans="5:5" x14ac:dyDescent="0.3">
      <c r="E1790" s="2"/>
    </row>
    <row r="1791" spans="5:5" x14ac:dyDescent="0.3">
      <c r="E1791" s="2"/>
    </row>
    <row r="1792" spans="5:5" x14ac:dyDescent="0.3">
      <c r="E1792" s="2"/>
    </row>
    <row r="1793" spans="5:5" x14ac:dyDescent="0.3">
      <c r="E1793" s="2"/>
    </row>
    <row r="1794" spans="5:5" x14ac:dyDescent="0.3">
      <c r="E1794" s="2"/>
    </row>
    <row r="1795" spans="5:5" x14ac:dyDescent="0.3">
      <c r="E1795" s="2"/>
    </row>
    <row r="1796" spans="5:5" x14ac:dyDescent="0.3">
      <c r="E1796" s="2"/>
    </row>
    <row r="1797" spans="5:5" x14ac:dyDescent="0.3">
      <c r="E1797" s="2"/>
    </row>
    <row r="1798" spans="5:5" x14ac:dyDescent="0.3">
      <c r="E1798" s="2"/>
    </row>
    <row r="1799" spans="5:5" x14ac:dyDescent="0.3">
      <c r="E1799" s="2"/>
    </row>
    <row r="1800" spans="5:5" x14ac:dyDescent="0.3">
      <c r="E1800" s="2"/>
    </row>
    <row r="1801" spans="5:5" x14ac:dyDescent="0.3">
      <c r="E1801" s="2"/>
    </row>
    <row r="1802" spans="5:5" x14ac:dyDescent="0.3">
      <c r="E1802" s="2"/>
    </row>
    <row r="1803" spans="5:5" x14ac:dyDescent="0.3">
      <c r="E1803" s="2"/>
    </row>
    <row r="1804" spans="5:5" x14ac:dyDescent="0.3">
      <c r="E1804" s="2"/>
    </row>
    <row r="1805" spans="5:5" x14ac:dyDescent="0.3">
      <c r="E1805" s="2"/>
    </row>
    <row r="1806" spans="5:5" x14ac:dyDescent="0.3">
      <c r="E1806" s="2"/>
    </row>
    <row r="1807" spans="5:5" x14ac:dyDescent="0.3">
      <c r="E1807" s="2"/>
    </row>
    <row r="1808" spans="5:5" x14ac:dyDescent="0.3">
      <c r="E1808" s="2"/>
    </row>
    <row r="1809" spans="5:5" x14ac:dyDescent="0.3">
      <c r="E1809" s="2"/>
    </row>
    <row r="1810" spans="5:5" x14ac:dyDescent="0.3">
      <c r="E1810" s="2"/>
    </row>
    <row r="1811" spans="5:5" x14ac:dyDescent="0.3">
      <c r="E1811" s="2"/>
    </row>
    <row r="1812" spans="5:5" x14ac:dyDescent="0.3">
      <c r="E1812" s="2"/>
    </row>
    <row r="1813" spans="5:5" x14ac:dyDescent="0.3">
      <c r="E1813" s="2"/>
    </row>
    <row r="1814" spans="5:5" x14ac:dyDescent="0.3">
      <c r="E1814" s="2"/>
    </row>
    <row r="1815" spans="5:5" x14ac:dyDescent="0.3">
      <c r="E1815" s="2"/>
    </row>
    <row r="1816" spans="5:5" x14ac:dyDescent="0.3">
      <c r="E1816" s="2"/>
    </row>
    <row r="1817" spans="5:5" x14ac:dyDescent="0.3">
      <c r="E1817" s="2"/>
    </row>
    <row r="1818" spans="5:5" x14ac:dyDescent="0.3">
      <c r="E1818" s="2"/>
    </row>
    <row r="1819" spans="5:5" x14ac:dyDescent="0.3">
      <c r="E1819" s="2"/>
    </row>
    <row r="1820" spans="5:5" x14ac:dyDescent="0.3">
      <c r="E1820" s="2"/>
    </row>
    <row r="1821" spans="5:5" x14ac:dyDescent="0.3">
      <c r="E1821" s="2"/>
    </row>
    <row r="1822" spans="5:5" x14ac:dyDescent="0.3">
      <c r="E1822" s="2"/>
    </row>
    <row r="1823" spans="5:5" x14ac:dyDescent="0.3">
      <c r="E1823" s="2"/>
    </row>
    <row r="1824" spans="5:5" x14ac:dyDescent="0.3">
      <c r="E1824" s="2"/>
    </row>
    <row r="1825" spans="5:5" x14ac:dyDescent="0.3">
      <c r="E1825" s="2"/>
    </row>
    <row r="1826" spans="5:5" x14ac:dyDescent="0.3">
      <c r="E1826" s="2"/>
    </row>
    <row r="1827" spans="5:5" x14ac:dyDescent="0.3">
      <c r="E1827" s="2"/>
    </row>
    <row r="1828" spans="5:5" x14ac:dyDescent="0.3">
      <c r="E1828" s="2"/>
    </row>
    <row r="1829" spans="5:5" x14ac:dyDescent="0.3">
      <c r="E1829" s="2"/>
    </row>
    <row r="1830" spans="5:5" x14ac:dyDescent="0.3">
      <c r="E1830" s="2"/>
    </row>
    <row r="1831" spans="5:5" x14ac:dyDescent="0.3">
      <c r="E1831" s="2"/>
    </row>
    <row r="1832" spans="5:5" x14ac:dyDescent="0.3">
      <c r="E1832" s="2"/>
    </row>
    <row r="1833" spans="5:5" x14ac:dyDescent="0.3">
      <c r="E1833" s="2"/>
    </row>
    <row r="1834" spans="5:5" x14ac:dyDescent="0.3">
      <c r="E1834" s="2"/>
    </row>
    <row r="1835" spans="5:5" x14ac:dyDescent="0.3">
      <c r="E1835" s="2"/>
    </row>
    <row r="1836" spans="5:5" x14ac:dyDescent="0.3">
      <c r="E1836" s="2"/>
    </row>
    <row r="1837" spans="5:5" x14ac:dyDescent="0.3">
      <c r="E1837" s="2"/>
    </row>
    <row r="1838" spans="5:5" x14ac:dyDescent="0.3">
      <c r="E1838" s="2"/>
    </row>
    <row r="1839" spans="5:5" x14ac:dyDescent="0.3">
      <c r="E1839" s="2"/>
    </row>
    <row r="1840" spans="5:5" x14ac:dyDescent="0.3">
      <c r="E1840" s="2"/>
    </row>
    <row r="1841" spans="5:5" x14ac:dyDescent="0.3">
      <c r="E1841" s="2"/>
    </row>
    <row r="1842" spans="5:5" x14ac:dyDescent="0.3">
      <c r="E1842" s="2"/>
    </row>
    <row r="1843" spans="5:5" x14ac:dyDescent="0.3">
      <c r="E1843" s="2"/>
    </row>
    <row r="1844" spans="5:5" x14ac:dyDescent="0.3">
      <c r="E1844" s="2"/>
    </row>
    <row r="1845" spans="5:5" x14ac:dyDescent="0.3">
      <c r="E1845" s="2"/>
    </row>
    <row r="1846" spans="5:5" x14ac:dyDescent="0.3">
      <c r="E1846" s="2"/>
    </row>
    <row r="1847" spans="5:5" x14ac:dyDescent="0.3">
      <c r="E1847" s="2"/>
    </row>
    <row r="1848" spans="5:5" x14ac:dyDescent="0.3">
      <c r="E1848" s="2"/>
    </row>
    <row r="1849" spans="5:5" x14ac:dyDescent="0.3">
      <c r="E1849" s="2"/>
    </row>
    <row r="1850" spans="5:5" x14ac:dyDescent="0.3">
      <c r="E1850" s="2"/>
    </row>
    <row r="1851" spans="5:5" x14ac:dyDescent="0.3">
      <c r="E1851" s="2"/>
    </row>
    <row r="1852" spans="5:5" x14ac:dyDescent="0.3">
      <c r="E1852" s="2"/>
    </row>
    <row r="1853" spans="5:5" x14ac:dyDescent="0.3">
      <c r="E1853" s="2"/>
    </row>
    <row r="1854" spans="5:5" x14ac:dyDescent="0.3">
      <c r="E1854" s="2"/>
    </row>
    <row r="1855" spans="5:5" x14ac:dyDescent="0.3">
      <c r="E1855" s="2"/>
    </row>
    <row r="1856" spans="5:5" x14ac:dyDescent="0.3">
      <c r="E1856" s="2"/>
    </row>
    <row r="1857" spans="5:5" x14ac:dyDescent="0.3">
      <c r="E1857" s="2"/>
    </row>
    <row r="1858" spans="5:5" x14ac:dyDescent="0.3">
      <c r="E1858" s="2"/>
    </row>
    <row r="1859" spans="5:5" x14ac:dyDescent="0.3">
      <c r="E1859" s="2"/>
    </row>
    <row r="1860" spans="5:5" x14ac:dyDescent="0.3">
      <c r="E1860" s="2"/>
    </row>
    <row r="1861" spans="5:5" x14ac:dyDescent="0.3">
      <c r="E1861" s="2"/>
    </row>
    <row r="1862" spans="5:5" x14ac:dyDescent="0.3">
      <c r="E1862" s="2"/>
    </row>
    <row r="1863" spans="5:5" x14ac:dyDescent="0.3">
      <c r="E1863" s="2"/>
    </row>
    <row r="1864" spans="5:5" x14ac:dyDescent="0.3">
      <c r="E1864" s="2"/>
    </row>
    <row r="1865" spans="5:5" x14ac:dyDescent="0.3">
      <c r="E1865" s="2"/>
    </row>
    <row r="1866" spans="5:5" x14ac:dyDescent="0.3">
      <c r="E1866" s="2"/>
    </row>
    <row r="1867" spans="5:5" x14ac:dyDescent="0.3">
      <c r="E1867" s="2"/>
    </row>
    <row r="1868" spans="5:5" x14ac:dyDescent="0.3">
      <c r="E1868" s="2"/>
    </row>
    <row r="1869" spans="5:5" x14ac:dyDescent="0.3">
      <c r="E1869" s="2"/>
    </row>
    <row r="1870" spans="5:5" x14ac:dyDescent="0.3">
      <c r="E1870" s="2"/>
    </row>
    <row r="1871" spans="5:5" x14ac:dyDescent="0.3">
      <c r="E1871" s="2"/>
    </row>
    <row r="1872" spans="5:5" x14ac:dyDescent="0.3">
      <c r="E1872" s="2"/>
    </row>
    <row r="1873" spans="5:5" x14ac:dyDescent="0.3">
      <c r="E1873" s="2"/>
    </row>
    <row r="1874" spans="5:5" x14ac:dyDescent="0.3">
      <c r="E1874" s="2"/>
    </row>
    <row r="1875" spans="5:5" x14ac:dyDescent="0.3">
      <c r="E1875" s="2"/>
    </row>
    <row r="1876" spans="5:5" x14ac:dyDescent="0.3">
      <c r="E1876" s="2"/>
    </row>
    <row r="1877" spans="5:5" x14ac:dyDescent="0.3">
      <c r="E1877" s="2"/>
    </row>
    <row r="1878" spans="5:5" x14ac:dyDescent="0.3">
      <c r="E1878" s="2"/>
    </row>
    <row r="1879" spans="5:5" x14ac:dyDescent="0.3">
      <c r="E1879" s="2"/>
    </row>
    <row r="1880" spans="5:5" x14ac:dyDescent="0.3">
      <c r="E1880" s="2"/>
    </row>
    <row r="1881" spans="5:5" x14ac:dyDescent="0.3">
      <c r="E1881" s="2"/>
    </row>
    <row r="1882" spans="5:5" x14ac:dyDescent="0.3">
      <c r="E1882" s="2"/>
    </row>
    <row r="1883" spans="5:5" x14ac:dyDescent="0.3">
      <c r="E1883" s="2"/>
    </row>
    <row r="1884" spans="5:5" x14ac:dyDescent="0.3">
      <c r="E1884" s="2"/>
    </row>
    <row r="1885" spans="5:5" x14ac:dyDescent="0.3">
      <c r="E1885" s="2"/>
    </row>
    <row r="1886" spans="5:5" x14ac:dyDescent="0.3">
      <c r="E1886" s="2"/>
    </row>
    <row r="1887" spans="5:5" x14ac:dyDescent="0.3">
      <c r="E1887" s="2"/>
    </row>
    <row r="1888" spans="5:5" x14ac:dyDescent="0.3">
      <c r="E1888" s="2"/>
    </row>
    <row r="1889" spans="5:5" x14ac:dyDescent="0.3">
      <c r="E1889" s="2"/>
    </row>
    <row r="1890" spans="5:5" x14ac:dyDescent="0.3">
      <c r="E1890" s="2"/>
    </row>
    <row r="1891" spans="5:5" x14ac:dyDescent="0.3">
      <c r="E1891" s="2"/>
    </row>
    <row r="1892" spans="5:5" x14ac:dyDescent="0.3">
      <c r="E1892" s="2"/>
    </row>
    <row r="1893" spans="5:5" x14ac:dyDescent="0.3">
      <c r="E1893" s="2"/>
    </row>
    <row r="1894" spans="5:5" x14ac:dyDescent="0.3">
      <c r="E1894" s="2"/>
    </row>
    <row r="1895" spans="5:5" x14ac:dyDescent="0.3">
      <c r="E1895" s="2"/>
    </row>
    <row r="1896" spans="5:5" x14ac:dyDescent="0.3">
      <c r="E1896" s="2"/>
    </row>
    <row r="1897" spans="5:5" x14ac:dyDescent="0.3">
      <c r="E1897" s="2"/>
    </row>
    <row r="1898" spans="5:5" x14ac:dyDescent="0.3">
      <c r="E1898" s="2"/>
    </row>
    <row r="1899" spans="5:5" x14ac:dyDescent="0.3">
      <c r="E1899" s="2"/>
    </row>
    <row r="1900" spans="5:5" x14ac:dyDescent="0.3">
      <c r="E1900" s="2"/>
    </row>
    <row r="1901" spans="5:5" x14ac:dyDescent="0.3">
      <c r="E1901" s="2"/>
    </row>
    <row r="1902" spans="5:5" x14ac:dyDescent="0.3">
      <c r="E1902" s="2"/>
    </row>
    <row r="1903" spans="5:5" x14ac:dyDescent="0.3">
      <c r="E1903" s="2"/>
    </row>
    <row r="1904" spans="5:5" x14ac:dyDescent="0.3">
      <c r="E1904" s="2"/>
    </row>
    <row r="1905" spans="5:5" x14ac:dyDescent="0.3">
      <c r="E1905" s="2"/>
    </row>
    <row r="1906" spans="5:5" x14ac:dyDescent="0.3">
      <c r="E1906" s="2"/>
    </row>
    <row r="1907" spans="5:5" x14ac:dyDescent="0.3">
      <c r="E1907" s="2"/>
    </row>
    <row r="1908" spans="5:5" x14ac:dyDescent="0.3">
      <c r="E1908" s="2"/>
    </row>
    <row r="1909" spans="5:5" x14ac:dyDescent="0.3">
      <c r="E1909" s="2"/>
    </row>
    <row r="1910" spans="5:5" x14ac:dyDescent="0.3">
      <c r="E1910" s="2"/>
    </row>
    <row r="1911" spans="5:5" x14ac:dyDescent="0.3">
      <c r="E1911" s="2"/>
    </row>
    <row r="1912" spans="5:5" x14ac:dyDescent="0.3">
      <c r="E1912" s="2"/>
    </row>
    <row r="1913" spans="5:5" x14ac:dyDescent="0.3">
      <c r="E1913" s="2"/>
    </row>
    <row r="1914" spans="5:5" x14ac:dyDescent="0.3">
      <c r="E1914" s="2"/>
    </row>
    <row r="1915" spans="5:5" x14ac:dyDescent="0.3">
      <c r="E1915" s="2"/>
    </row>
    <row r="1916" spans="5:5" x14ac:dyDescent="0.3">
      <c r="E1916" s="2"/>
    </row>
    <row r="1917" spans="5:5" x14ac:dyDescent="0.3">
      <c r="E1917" s="2"/>
    </row>
    <row r="1918" spans="5:5" x14ac:dyDescent="0.3">
      <c r="E1918" s="2"/>
    </row>
    <row r="1919" spans="5:5" x14ac:dyDescent="0.3">
      <c r="E1919" s="2"/>
    </row>
    <row r="1920" spans="5:5" x14ac:dyDescent="0.3">
      <c r="E1920" s="2"/>
    </row>
    <row r="1921" spans="5:5" x14ac:dyDescent="0.3">
      <c r="E1921" s="2"/>
    </row>
    <row r="1922" spans="5:5" x14ac:dyDescent="0.3">
      <c r="E1922" s="2"/>
    </row>
    <row r="1923" spans="5:5" x14ac:dyDescent="0.3">
      <c r="E1923" s="2"/>
    </row>
    <row r="1924" spans="5:5" x14ac:dyDescent="0.3">
      <c r="E1924" s="2"/>
    </row>
    <row r="1925" spans="5:5" x14ac:dyDescent="0.3">
      <c r="E1925" s="2"/>
    </row>
    <row r="1926" spans="5:5" x14ac:dyDescent="0.3">
      <c r="E1926" s="2"/>
    </row>
    <row r="1927" spans="5:5" x14ac:dyDescent="0.3">
      <c r="E1927" s="2"/>
    </row>
    <row r="1928" spans="5:5" x14ac:dyDescent="0.3">
      <c r="E1928" s="2"/>
    </row>
    <row r="1929" spans="5:5" x14ac:dyDescent="0.3">
      <c r="E1929" s="2"/>
    </row>
    <row r="1930" spans="5:5" x14ac:dyDescent="0.3">
      <c r="E1930" s="2"/>
    </row>
    <row r="1931" spans="5:5" x14ac:dyDescent="0.3">
      <c r="E1931" s="2"/>
    </row>
    <row r="1932" spans="5:5" x14ac:dyDescent="0.3">
      <c r="E1932" s="2"/>
    </row>
    <row r="1933" spans="5:5" x14ac:dyDescent="0.3">
      <c r="E1933" s="2"/>
    </row>
    <row r="1934" spans="5:5" x14ac:dyDescent="0.3">
      <c r="E1934" s="2"/>
    </row>
    <row r="1935" spans="5:5" x14ac:dyDescent="0.3">
      <c r="E1935" s="2"/>
    </row>
    <row r="1936" spans="5:5" x14ac:dyDescent="0.3">
      <c r="E1936" s="2"/>
    </row>
    <row r="1937" spans="5:5" x14ac:dyDescent="0.3">
      <c r="E1937" s="2"/>
    </row>
    <row r="1938" spans="5:5" x14ac:dyDescent="0.3">
      <c r="E1938" s="2"/>
    </row>
    <row r="1939" spans="5:5" x14ac:dyDescent="0.3">
      <c r="E1939" s="2"/>
    </row>
    <row r="1940" spans="5:5" x14ac:dyDescent="0.3">
      <c r="E1940" s="2"/>
    </row>
    <row r="1941" spans="5:5" x14ac:dyDescent="0.3">
      <c r="E1941" s="2"/>
    </row>
    <row r="1942" spans="5:5" x14ac:dyDescent="0.3">
      <c r="E1942" s="2"/>
    </row>
    <row r="1943" spans="5:5" x14ac:dyDescent="0.3">
      <c r="E1943" s="2"/>
    </row>
    <row r="1944" spans="5:5" x14ac:dyDescent="0.3">
      <c r="E1944" s="2"/>
    </row>
    <row r="1945" spans="5:5" x14ac:dyDescent="0.3">
      <c r="E1945" s="2"/>
    </row>
    <row r="1946" spans="5:5" x14ac:dyDescent="0.3">
      <c r="E1946" s="2"/>
    </row>
    <row r="1947" spans="5:5" x14ac:dyDescent="0.3">
      <c r="E1947" s="2"/>
    </row>
    <row r="1948" spans="5:5" x14ac:dyDescent="0.3">
      <c r="E1948" s="2"/>
    </row>
    <row r="1949" spans="5:5" x14ac:dyDescent="0.3">
      <c r="E1949" s="2"/>
    </row>
    <row r="1950" spans="5:5" x14ac:dyDescent="0.3">
      <c r="E1950" s="2"/>
    </row>
    <row r="1951" spans="5:5" x14ac:dyDescent="0.3">
      <c r="E1951" s="2"/>
    </row>
    <row r="1952" spans="5:5" x14ac:dyDescent="0.3">
      <c r="E1952" s="2"/>
    </row>
    <row r="1953" spans="5:5" x14ac:dyDescent="0.3">
      <c r="E1953" s="2"/>
    </row>
    <row r="1954" spans="5:5" x14ac:dyDescent="0.3">
      <c r="E1954" s="2"/>
    </row>
    <row r="1955" spans="5:5" x14ac:dyDescent="0.3">
      <c r="E1955" s="2"/>
    </row>
    <row r="1956" spans="5:5" x14ac:dyDescent="0.3">
      <c r="E1956" s="2"/>
    </row>
    <row r="1957" spans="5:5" x14ac:dyDescent="0.3">
      <c r="E1957" s="2"/>
    </row>
    <row r="1958" spans="5:5" x14ac:dyDescent="0.3">
      <c r="E1958" s="2"/>
    </row>
    <row r="1959" spans="5:5" x14ac:dyDescent="0.3">
      <c r="E1959" s="2"/>
    </row>
    <row r="1960" spans="5:5" x14ac:dyDescent="0.3">
      <c r="E1960" s="2"/>
    </row>
    <row r="1961" spans="5:5" x14ac:dyDescent="0.3">
      <c r="E1961" s="2"/>
    </row>
    <row r="1962" spans="5:5" x14ac:dyDescent="0.3">
      <c r="E1962" s="2"/>
    </row>
    <row r="1963" spans="5:5" x14ac:dyDescent="0.3">
      <c r="E1963" s="2"/>
    </row>
    <row r="1964" spans="5:5" x14ac:dyDescent="0.3">
      <c r="E1964" s="2"/>
    </row>
    <row r="1965" spans="5:5" x14ac:dyDescent="0.3">
      <c r="E1965" s="2"/>
    </row>
    <row r="1966" spans="5:5" x14ac:dyDescent="0.3">
      <c r="E1966" s="2"/>
    </row>
    <row r="1967" spans="5:5" x14ac:dyDescent="0.3">
      <c r="E1967" s="2"/>
    </row>
    <row r="1968" spans="5:5" x14ac:dyDescent="0.3">
      <c r="E1968" s="2"/>
    </row>
    <row r="1969" spans="5:5" x14ac:dyDescent="0.3">
      <c r="E1969" s="2"/>
    </row>
    <row r="1970" spans="5:5" x14ac:dyDescent="0.3">
      <c r="E1970" s="2"/>
    </row>
    <row r="1971" spans="5:5" x14ac:dyDescent="0.3">
      <c r="E1971" s="2"/>
    </row>
    <row r="1972" spans="5:5" x14ac:dyDescent="0.3">
      <c r="E1972" s="2"/>
    </row>
    <row r="1973" spans="5:5" x14ac:dyDescent="0.3">
      <c r="E1973" s="2"/>
    </row>
    <row r="1974" spans="5:5" x14ac:dyDescent="0.3">
      <c r="E1974" s="2"/>
    </row>
    <row r="1975" spans="5:5" x14ac:dyDescent="0.3">
      <c r="E1975" s="2"/>
    </row>
    <row r="1976" spans="5:5" x14ac:dyDescent="0.3">
      <c r="E1976" s="2"/>
    </row>
    <row r="1977" spans="5:5" x14ac:dyDescent="0.3">
      <c r="E1977" s="2"/>
    </row>
    <row r="1978" spans="5:5" x14ac:dyDescent="0.3">
      <c r="E1978" s="2"/>
    </row>
    <row r="1979" spans="5:5" x14ac:dyDescent="0.3">
      <c r="E1979" s="2"/>
    </row>
    <row r="1980" spans="5:5" x14ac:dyDescent="0.3">
      <c r="E1980" s="2"/>
    </row>
    <row r="1981" spans="5:5" x14ac:dyDescent="0.3">
      <c r="E1981" s="2"/>
    </row>
    <row r="1982" spans="5:5" x14ac:dyDescent="0.3">
      <c r="E1982" s="2"/>
    </row>
    <row r="1983" spans="5:5" x14ac:dyDescent="0.3">
      <c r="E1983" s="2"/>
    </row>
    <row r="1984" spans="5:5" x14ac:dyDescent="0.3">
      <c r="E1984" s="2"/>
    </row>
    <row r="1985" spans="5:5" x14ac:dyDescent="0.3">
      <c r="E1985" s="2"/>
    </row>
    <row r="1986" spans="5:5" x14ac:dyDescent="0.3">
      <c r="E1986" s="2"/>
    </row>
    <row r="1987" spans="5:5" x14ac:dyDescent="0.3">
      <c r="E1987" s="2"/>
    </row>
    <row r="1988" spans="5:5" x14ac:dyDescent="0.3">
      <c r="E1988" s="2"/>
    </row>
    <row r="1989" spans="5:5" x14ac:dyDescent="0.3">
      <c r="E1989" s="2"/>
    </row>
    <row r="1990" spans="5:5" x14ac:dyDescent="0.3">
      <c r="E1990" s="2"/>
    </row>
    <row r="1991" spans="5:5" x14ac:dyDescent="0.3">
      <c r="E1991" s="2"/>
    </row>
    <row r="1992" spans="5:5" x14ac:dyDescent="0.3">
      <c r="E1992" s="2"/>
    </row>
    <row r="1993" spans="5:5" x14ac:dyDescent="0.3">
      <c r="E1993" s="2"/>
    </row>
    <row r="1994" spans="5:5" x14ac:dyDescent="0.3">
      <c r="E1994" s="2"/>
    </row>
    <row r="1995" spans="5:5" x14ac:dyDescent="0.3">
      <c r="E1995" s="2"/>
    </row>
    <row r="1996" spans="5:5" x14ac:dyDescent="0.3">
      <c r="E1996" s="2"/>
    </row>
    <row r="1997" spans="5:5" x14ac:dyDescent="0.3">
      <c r="E1997" s="2"/>
    </row>
    <row r="1998" spans="5:5" x14ac:dyDescent="0.3">
      <c r="E1998" s="2"/>
    </row>
    <row r="1999" spans="5:5" x14ac:dyDescent="0.3">
      <c r="E1999" s="2"/>
    </row>
    <row r="2000" spans="5:5" x14ac:dyDescent="0.3">
      <c r="E2000" s="2"/>
    </row>
    <row r="2001" spans="5:5" x14ac:dyDescent="0.3">
      <c r="E2001" s="2"/>
    </row>
    <row r="2002" spans="5:5" x14ac:dyDescent="0.3">
      <c r="E2002" s="2"/>
    </row>
    <row r="2003" spans="5:5" x14ac:dyDescent="0.3">
      <c r="E2003" s="2"/>
    </row>
    <row r="2004" spans="5:5" x14ac:dyDescent="0.3">
      <c r="E2004" s="2"/>
    </row>
    <row r="2005" spans="5:5" x14ac:dyDescent="0.3">
      <c r="E2005" s="2"/>
    </row>
    <row r="2006" spans="5:5" x14ac:dyDescent="0.3">
      <c r="E2006" s="2"/>
    </row>
    <row r="2007" spans="5:5" x14ac:dyDescent="0.3">
      <c r="E2007" s="2"/>
    </row>
    <row r="2008" spans="5:5" x14ac:dyDescent="0.3">
      <c r="E2008" s="2"/>
    </row>
    <row r="2009" spans="5:5" x14ac:dyDescent="0.3">
      <c r="E2009" s="2"/>
    </row>
    <row r="2010" spans="5:5" x14ac:dyDescent="0.3">
      <c r="E2010" s="2"/>
    </row>
    <row r="2011" spans="5:5" x14ac:dyDescent="0.3">
      <c r="E2011" s="2"/>
    </row>
    <row r="2012" spans="5:5" x14ac:dyDescent="0.3">
      <c r="E2012" s="2"/>
    </row>
    <row r="2013" spans="5:5" x14ac:dyDescent="0.3">
      <c r="E2013" s="2"/>
    </row>
    <row r="2014" spans="5:5" x14ac:dyDescent="0.3">
      <c r="E2014" s="2"/>
    </row>
    <row r="2015" spans="5:5" x14ac:dyDescent="0.3">
      <c r="E2015" s="2"/>
    </row>
    <row r="2016" spans="5:5" x14ac:dyDescent="0.3">
      <c r="E2016" s="2"/>
    </row>
    <row r="2017" spans="5:5" x14ac:dyDescent="0.3">
      <c r="E2017" s="2"/>
    </row>
    <row r="2018" spans="5:5" x14ac:dyDescent="0.3">
      <c r="E2018" s="2"/>
    </row>
    <row r="2019" spans="5:5" x14ac:dyDescent="0.3">
      <c r="E2019" s="2"/>
    </row>
    <row r="2020" spans="5:5" x14ac:dyDescent="0.3">
      <c r="E2020" s="2"/>
    </row>
    <row r="2021" spans="5:5" x14ac:dyDescent="0.3">
      <c r="E2021" s="2"/>
    </row>
    <row r="2022" spans="5:5" x14ac:dyDescent="0.3">
      <c r="E2022" s="2"/>
    </row>
    <row r="2023" spans="5:5" x14ac:dyDescent="0.3">
      <c r="E2023" s="2"/>
    </row>
    <row r="2024" spans="5:5" x14ac:dyDescent="0.3">
      <c r="E2024" s="2"/>
    </row>
    <row r="2025" spans="5:5" x14ac:dyDescent="0.3">
      <c r="E2025" s="2"/>
    </row>
    <row r="2026" spans="5:5" x14ac:dyDescent="0.3">
      <c r="E2026" s="2"/>
    </row>
    <row r="2027" spans="5:5" x14ac:dyDescent="0.3">
      <c r="E2027" s="2"/>
    </row>
    <row r="2028" spans="5:5" x14ac:dyDescent="0.3">
      <c r="E2028" s="2"/>
    </row>
    <row r="2029" spans="5:5" x14ac:dyDescent="0.3">
      <c r="E2029" s="2"/>
    </row>
    <row r="2030" spans="5:5" x14ac:dyDescent="0.3">
      <c r="E2030" s="2"/>
    </row>
    <row r="2031" spans="5:5" x14ac:dyDescent="0.3">
      <c r="E2031" s="2"/>
    </row>
    <row r="2032" spans="5:5" x14ac:dyDescent="0.3">
      <c r="E2032" s="2"/>
    </row>
    <row r="2033" spans="5:5" x14ac:dyDescent="0.3">
      <c r="E2033" s="2"/>
    </row>
    <row r="2034" spans="5:5" x14ac:dyDescent="0.3">
      <c r="E2034" s="2"/>
    </row>
    <row r="2035" spans="5:5" x14ac:dyDescent="0.3">
      <c r="E2035" s="2"/>
    </row>
    <row r="2036" spans="5:5" x14ac:dyDescent="0.3">
      <c r="E2036" s="2"/>
    </row>
    <row r="2037" spans="5:5" x14ac:dyDescent="0.3">
      <c r="E2037" s="2"/>
    </row>
    <row r="2038" spans="5:5" x14ac:dyDescent="0.3">
      <c r="E2038" s="2"/>
    </row>
    <row r="2039" spans="5:5" x14ac:dyDescent="0.3">
      <c r="E2039" s="2"/>
    </row>
    <row r="2040" spans="5:5" x14ac:dyDescent="0.3">
      <c r="E2040" s="2"/>
    </row>
    <row r="2041" spans="5:5" x14ac:dyDescent="0.3">
      <c r="E2041" s="2"/>
    </row>
    <row r="2042" spans="5:5" x14ac:dyDescent="0.3">
      <c r="E2042" s="2"/>
    </row>
    <row r="2043" spans="5:5" x14ac:dyDescent="0.3">
      <c r="E2043" s="2"/>
    </row>
    <row r="2044" spans="5:5" x14ac:dyDescent="0.3">
      <c r="E2044" s="2"/>
    </row>
    <row r="2045" spans="5:5" x14ac:dyDescent="0.3">
      <c r="E2045" s="2"/>
    </row>
    <row r="2046" spans="5:5" x14ac:dyDescent="0.3">
      <c r="E2046" s="2"/>
    </row>
    <row r="2047" spans="5:5" x14ac:dyDescent="0.3">
      <c r="E2047" s="2"/>
    </row>
    <row r="2048" spans="5:5" x14ac:dyDescent="0.3">
      <c r="E2048" s="2"/>
    </row>
    <row r="2049" spans="5:5" x14ac:dyDescent="0.3">
      <c r="E2049" s="2"/>
    </row>
    <row r="2050" spans="5:5" x14ac:dyDescent="0.3">
      <c r="E2050" s="2"/>
    </row>
    <row r="2051" spans="5:5" x14ac:dyDescent="0.3">
      <c r="E2051" s="2"/>
    </row>
    <row r="2052" spans="5:5" x14ac:dyDescent="0.3">
      <c r="E2052" s="2"/>
    </row>
    <row r="2053" spans="5:5" x14ac:dyDescent="0.3">
      <c r="E2053" s="2"/>
    </row>
    <row r="2054" spans="5:5" x14ac:dyDescent="0.3">
      <c r="E2054" s="2"/>
    </row>
    <row r="2055" spans="5:5" x14ac:dyDescent="0.3">
      <c r="E2055" s="2"/>
    </row>
    <row r="2056" spans="5:5" x14ac:dyDescent="0.3">
      <c r="E2056" s="2"/>
    </row>
    <row r="2057" spans="5:5" x14ac:dyDescent="0.3">
      <c r="E2057" s="2"/>
    </row>
    <row r="2058" spans="5:5" x14ac:dyDescent="0.3">
      <c r="E2058" s="2"/>
    </row>
    <row r="2059" spans="5:5" x14ac:dyDescent="0.3">
      <c r="E2059" s="2"/>
    </row>
    <row r="2060" spans="5:5" x14ac:dyDescent="0.3">
      <c r="E2060" s="2"/>
    </row>
    <row r="2061" spans="5:5" x14ac:dyDescent="0.3">
      <c r="E2061" s="2"/>
    </row>
    <row r="2062" spans="5:5" x14ac:dyDescent="0.3">
      <c r="E2062" s="2"/>
    </row>
    <row r="2063" spans="5:5" x14ac:dyDescent="0.3">
      <c r="E2063" s="2"/>
    </row>
    <row r="2064" spans="5:5" x14ac:dyDescent="0.3">
      <c r="E2064" s="2"/>
    </row>
    <row r="2065" spans="5:5" x14ac:dyDescent="0.3">
      <c r="E2065" s="2"/>
    </row>
    <row r="2066" spans="5:5" x14ac:dyDescent="0.3">
      <c r="E2066" s="2"/>
    </row>
    <row r="2067" spans="5:5" x14ac:dyDescent="0.3">
      <c r="E2067" s="2"/>
    </row>
    <row r="2068" spans="5:5" x14ac:dyDescent="0.3">
      <c r="E2068" s="2"/>
    </row>
    <row r="2069" spans="5:5" x14ac:dyDescent="0.3">
      <c r="E2069" s="2"/>
    </row>
    <row r="2070" spans="5:5" x14ac:dyDescent="0.3">
      <c r="E2070" s="2"/>
    </row>
    <row r="2071" spans="5:5" x14ac:dyDescent="0.3">
      <c r="E2071" s="2"/>
    </row>
    <row r="2072" spans="5:5" x14ac:dyDescent="0.3">
      <c r="E2072" s="2"/>
    </row>
    <row r="2073" spans="5:5" x14ac:dyDescent="0.3">
      <c r="E2073" s="2"/>
    </row>
    <row r="2074" spans="5:5" x14ac:dyDescent="0.3">
      <c r="E2074" s="2"/>
    </row>
    <row r="2075" spans="5:5" x14ac:dyDescent="0.3">
      <c r="E2075" s="2"/>
    </row>
    <row r="2076" spans="5:5" x14ac:dyDescent="0.3">
      <c r="E2076" s="2"/>
    </row>
    <row r="2077" spans="5:5" x14ac:dyDescent="0.3">
      <c r="E2077" s="2"/>
    </row>
    <row r="2078" spans="5:5" x14ac:dyDescent="0.3">
      <c r="E2078" s="2"/>
    </row>
    <row r="2079" spans="5:5" x14ac:dyDescent="0.3">
      <c r="E2079" s="2"/>
    </row>
    <row r="2080" spans="5:5" x14ac:dyDescent="0.3">
      <c r="E2080" s="2"/>
    </row>
    <row r="2081" spans="5:5" x14ac:dyDescent="0.3">
      <c r="E2081" s="2"/>
    </row>
    <row r="2082" spans="5:5" x14ac:dyDescent="0.3">
      <c r="E2082" s="2"/>
    </row>
    <row r="2083" spans="5:5" x14ac:dyDescent="0.3">
      <c r="E2083" s="2"/>
    </row>
    <row r="2084" spans="5:5" x14ac:dyDescent="0.3">
      <c r="E2084" s="2"/>
    </row>
    <row r="2085" spans="5:5" x14ac:dyDescent="0.3">
      <c r="E2085" s="2"/>
    </row>
    <row r="2086" spans="5:5" x14ac:dyDescent="0.3">
      <c r="E2086" s="2"/>
    </row>
    <row r="2087" spans="5:5" x14ac:dyDescent="0.3">
      <c r="E2087" s="2"/>
    </row>
    <row r="2088" spans="5:5" x14ac:dyDescent="0.3">
      <c r="E2088" s="2"/>
    </row>
    <row r="2089" spans="5:5" x14ac:dyDescent="0.3">
      <c r="E2089" s="2"/>
    </row>
    <row r="2090" spans="5:5" x14ac:dyDescent="0.3">
      <c r="E2090" s="2"/>
    </row>
    <row r="2091" spans="5:5" x14ac:dyDescent="0.3">
      <c r="E2091" s="2"/>
    </row>
    <row r="2092" spans="5:5" x14ac:dyDescent="0.3">
      <c r="E2092" s="2"/>
    </row>
    <row r="2093" spans="5:5" x14ac:dyDescent="0.3">
      <c r="E2093" s="2"/>
    </row>
    <row r="2094" spans="5:5" x14ac:dyDescent="0.3">
      <c r="E2094" s="2"/>
    </row>
    <row r="2095" spans="5:5" x14ac:dyDescent="0.3">
      <c r="E2095" s="2"/>
    </row>
    <row r="2096" spans="5:5" x14ac:dyDescent="0.3">
      <c r="E2096" s="2"/>
    </row>
    <row r="2097" spans="5:5" x14ac:dyDescent="0.3">
      <c r="E2097" s="2"/>
    </row>
    <row r="2098" spans="5:5" x14ac:dyDescent="0.3">
      <c r="E2098" s="2"/>
    </row>
    <row r="2099" spans="5:5" x14ac:dyDescent="0.3">
      <c r="E2099" s="2"/>
    </row>
    <row r="2100" spans="5:5" x14ac:dyDescent="0.3">
      <c r="E2100" s="2"/>
    </row>
    <row r="2101" spans="5:5" x14ac:dyDescent="0.3">
      <c r="E2101" s="2"/>
    </row>
    <row r="2102" spans="5:5" x14ac:dyDescent="0.3">
      <c r="E2102" s="2"/>
    </row>
    <row r="2103" spans="5:5" x14ac:dyDescent="0.3">
      <c r="E2103" s="2"/>
    </row>
    <row r="2104" spans="5:5" x14ac:dyDescent="0.3">
      <c r="E2104" s="2"/>
    </row>
    <row r="2105" spans="5:5" x14ac:dyDescent="0.3">
      <c r="E2105" s="2"/>
    </row>
    <row r="2106" spans="5:5" x14ac:dyDescent="0.3">
      <c r="E2106" s="2"/>
    </row>
    <row r="2107" spans="5:5" x14ac:dyDescent="0.3">
      <c r="E2107" s="2"/>
    </row>
    <row r="2108" spans="5:5" x14ac:dyDescent="0.3">
      <c r="E2108" s="2"/>
    </row>
    <row r="2109" spans="5:5" x14ac:dyDescent="0.3">
      <c r="E2109" s="2"/>
    </row>
    <row r="2110" spans="5:5" x14ac:dyDescent="0.3">
      <c r="E2110" s="2"/>
    </row>
    <row r="2111" spans="5:5" x14ac:dyDescent="0.3">
      <c r="E2111" s="2"/>
    </row>
    <row r="2112" spans="5:5" x14ac:dyDescent="0.3">
      <c r="E2112" s="2"/>
    </row>
    <row r="2113" spans="5:5" x14ac:dyDescent="0.3">
      <c r="E2113" s="2"/>
    </row>
    <row r="2114" spans="5:5" x14ac:dyDescent="0.3">
      <c r="E2114" s="2"/>
    </row>
    <row r="2115" spans="5:5" x14ac:dyDescent="0.3">
      <c r="E2115" s="2"/>
    </row>
    <row r="2116" spans="5:5" x14ac:dyDescent="0.3">
      <c r="E2116" s="2"/>
    </row>
    <row r="2117" spans="5:5" x14ac:dyDescent="0.3">
      <c r="E2117" s="2"/>
    </row>
    <row r="2118" spans="5:5" x14ac:dyDescent="0.3">
      <c r="E2118" s="2"/>
    </row>
    <row r="2119" spans="5:5" x14ac:dyDescent="0.3">
      <c r="E2119" s="2"/>
    </row>
    <row r="2120" spans="5:5" x14ac:dyDescent="0.3">
      <c r="E2120" s="2"/>
    </row>
    <row r="2121" spans="5:5" x14ac:dyDescent="0.3">
      <c r="E2121" s="2"/>
    </row>
    <row r="2122" spans="5:5" x14ac:dyDescent="0.3">
      <c r="E2122" s="2"/>
    </row>
    <row r="2123" spans="5:5" x14ac:dyDescent="0.3">
      <c r="E2123" s="2"/>
    </row>
    <row r="2124" spans="5:5" x14ac:dyDescent="0.3">
      <c r="E2124" s="2"/>
    </row>
    <row r="2125" spans="5:5" x14ac:dyDescent="0.3">
      <c r="E2125" s="2"/>
    </row>
    <row r="2126" spans="5:5" x14ac:dyDescent="0.3">
      <c r="E2126" s="2"/>
    </row>
    <row r="2127" spans="5:5" x14ac:dyDescent="0.3">
      <c r="E2127" s="2"/>
    </row>
    <row r="2128" spans="5:5" x14ac:dyDescent="0.3">
      <c r="E2128" s="2"/>
    </row>
    <row r="2129" spans="5:5" x14ac:dyDescent="0.3">
      <c r="E2129" s="2"/>
    </row>
    <row r="2130" spans="5:5" x14ac:dyDescent="0.3">
      <c r="E2130" s="2"/>
    </row>
    <row r="2131" spans="5:5" x14ac:dyDescent="0.3">
      <c r="E2131" s="2"/>
    </row>
    <row r="2132" spans="5:5" x14ac:dyDescent="0.3">
      <c r="E2132" s="2"/>
    </row>
    <row r="2133" spans="5:5" x14ac:dyDescent="0.3">
      <c r="E2133" s="2"/>
    </row>
    <row r="2134" spans="5:5" x14ac:dyDescent="0.3">
      <c r="E2134" s="2"/>
    </row>
    <row r="2135" spans="5:5" x14ac:dyDescent="0.3">
      <c r="E2135" s="2"/>
    </row>
    <row r="2136" spans="5:5" x14ac:dyDescent="0.3">
      <c r="E2136" s="2"/>
    </row>
    <row r="2137" spans="5:5" x14ac:dyDescent="0.3">
      <c r="E2137" s="2"/>
    </row>
    <row r="2138" spans="5:5" x14ac:dyDescent="0.3">
      <c r="E2138" s="2"/>
    </row>
    <row r="2139" spans="5:5" x14ac:dyDescent="0.3">
      <c r="E2139" s="2"/>
    </row>
    <row r="2140" spans="5:5" x14ac:dyDescent="0.3">
      <c r="E2140" s="2"/>
    </row>
    <row r="2141" spans="5:5" x14ac:dyDescent="0.3">
      <c r="E2141" s="2"/>
    </row>
    <row r="2142" spans="5:5" x14ac:dyDescent="0.3">
      <c r="E2142" s="2"/>
    </row>
    <row r="2143" spans="5:5" x14ac:dyDescent="0.3">
      <c r="E2143" s="2"/>
    </row>
    <row r="2144" spans="5:5" x14ac:dyDescent="0.3">
      <c r="E2144" s="2"/>
    </row>
    <row r="2145" spans="5:5" x14ac:dyDescent="0.3">
      <c r="E2145" s="2"/>
    </row>
    <row r="2146" spans="5:5" x14ac:dyDescent="0.3">
      <c r="E2146" s="2"/>
    </row>
    <row r="2147" spans="5:5" x14ac:dyDescent="0.3">
      <c r="E2147" s="2"/>
    </row>
    <row r="2148" spans="5:5" x14ac:dyDescent="0.3">
      <c r="E2148" s="2"/>
    </row>
    <row r="2149" spans="5:5" x14ac:dyDescent="0.3">
      <c r="E2149" s="2"/>
    </row>
    <row r="2150" spans="5:5" x14ac:dyDescent="0.3">
      <c r="E2150" s="2"/>
    </row>
    <row r="2151" spans="5:5" x14ac:dyDescent="0.3">
      <c r="E2151" s="2"/>
    </row>
    <row r="2152" spans="5:5" x14ac:dyDescent="0.3">
      <c r="E2152" s="2"/>
    </row>
    <row r="2153" spans="5:5" x14ac:dyDescent="0.3">
      <c r="E2153" s="2"/>
    </row>
    <row r="2154" spans="5:5" x14ac:dyDescent="0.3">
      <c r="E2154" s="2"/>
    </row>
    <row r="2155" spans="5:5" x14ac:dyDescent="0.3">
      <c r="E2155" s="2"/>
    </row>
    <row r="2156" spans="5:5" x14ac:dyDescent="0.3">
      <c r="E2156" s="2"/>
    </row>
    <row r="2157" spans="5:5" x14ac:dyDescent="0.3">
      <c r="E2157" s="2"/>
    </row>
    <row r="2158" spans="5:5" x14ac:dyDescent="0.3">
      <c r="E2158" s="2"/>
    </row>
    <row r="2159" spans="5:5" x14ac:dyDescent="0.3">
      <c r="E2159" s="2"/>
    </row>
    <row r="2160" spans="5:5" x14ac:dyDescent="0.3">
      <c r="E2160" s="2"/>
    </row>
    <row r="2161" spans="5:5" x14ac:dyDescent="0.3">
      <c r="E2161" s="2"/>
    </row>
    <row r="2162" spans="5:5" x14ac:dyDescent="0.3">
      <c r="E2162" s="2"/>
    </row>
    <row r="2163" spans="5:5" x14ac:dyDescent="0.3">
      <c r="E2163" s="2"/>
    </row>
    <row r="2164" spans="5:5" x14ac:dyDescent="0.3">
      <c r="E2164" s="2"/>
    </row>
    <row r="2165" spans="5:5" x14ac:dyDescent="0.3">
      <c r="E2165" s="2"/>
    </row>
    <row r="2166" spans="5:5" x14ac:dyDescent="0.3">
      <c r="E2166" s="2"/>
    </row>
    <row r="2167" spans="5:5" x14ac:dyDescent="0.3">
      <c r="E2167" s="2"/>
    </row>
    <row r="2168" spans="5:5" x14ac:dyDescent="0.3">
      <c r="E2168" s="2"/>
    </row>
    <row r="2169" spans="5:5" x14ac:dyDescent="0.3">
      <c r="E2169" s="2"/>
    </row>
    <row r="2170" spans="5:5" x14ac:dyDescent="0.3">
      <c r="E2170" s="2"/>
    </row>
    <row r="2171" spans="5:5" x14ac:dyDescent="0.3">
      <c r="E2171" s="2"/>
    </row>
    <row r="2172" spans="5:5" x14ac:dyDescent="0.3">
      <c r="E2172" s="2"/>
    </row>
    <row r="2173" spans="5:5" x14ac:dyDescent="0.3">
      <c r="E2173" s="2"/>
    </row>
    <row r="2174" spans="5:5" x14ac:dyDescent="0.3">
      <c r="E2174" s="2"/>
    </row>
    <row r="2175" spans="5:5" x14ac:dyDescent="0.3">
      <c r="E2175" s="2"/>
    </row>
    <row r="2176" spans="5:5" x14ac:dyDescent="0.3">
      <c r="E2176" s="2"/>
    </row>
    <row r="2177" spans="5:5" x14ac:dyDescent="0.3">
      <c r="E2177" s="2"/>
    </row>
    <row r="2178" spans="5:5" x14ac:dyDescent="0.3">
      <c r="E2178" s="2"/>
    </row>
    <row r="2179" spans="5:5" x14ac:dyDescent="0.3">
      <c r="E2179" s="2"/>
    </row>
    <row r="2180" spans="5:5" x14ac:dyDescent="0.3">
      <c r="E2180" s="2"/>
    </row>
    <row r="2181" spans="5:5" x14ac:dyDescent="0.3">
      <c r="E2181" s="2"/>
    </row>
    <row r="2182" spans="5:5" x14ac:dyDescent="0.3">
      <c r="E2182" s="2"/>
    </row>
    <row r="2183" spans="5:5" x14ac:dyDescent="0.3">
      <c r="E2183" s="2"/>
    </row>
    <row r="2184" spans="5:5" x14ac:dyDescent="0.3">
      <c r="E2184" s="2"/>
    </row>
    <row r="2185" spans="5:5" x14ac:dyDescent="0.3">
      <c r="E2185" s="2"/>
    </row>
    <row r="2186" spans="5:5" x14ac:dyDescent="0.3">
      <c r="E2186" s="2"/>
    </row>
    <row r="2187" spans="5:5" x14ac:dyDescent="0.3">
      <c r="E2187" s="2"/>
    </row>
    <row r="2188" spans="5:5" x14ac:dyDescent="0.3">
      <c r="E2188" s="2"/>
    </row>
    <row r="2189" spans="5:5" x14ac:dyDescent="0.3">
      <c r="E2189" s="2"/>
    </row>
    <row r="2190" spans="5:5" x14ac:dyDescent="0.3">
      <c r="E2190" s="2"/>
    </row>
    <row r="2191" spans="5:5" x14ac:dyDescent="0.3">
      <c r="E2191" s="2"/>
    </row>
    <row r="2192" spans="5:5" x14ac:dyDescent="0.3">
      <c r="E2192" s="2"/>
    </row>
    <row r="2193" spans="5:5" x14ac:dyDescent="0.3">
      <c r="E2193" s="2"/>
    </row>
    <row r="2194" spans="5:5" x14ac:dyDescent="0.3">
      <c r="E2194" s="2"/>
    </row>
    <row r="2195" spans="5:5" x14ac:dyDescent="0.3">
      <c r="E2195" s="2"/>
    </row>
    <row r="2196" spans="5:5" x14ac:dyDescent="0.3">
      <c r="E2196" s="2"/>
    </row>
    <row r="2197" spans="5:5" x14ac:dyDescent="0.3">
      <c r="E2197" s="2"/>
    </row>
    <row r="2198" spans="5:5" x14ac:dyDescent="0.3">
      <c r="E2198" s="2"/>
    </row>
    <row r="2199" spans="5:5" x14ac:dyDescent="0.3">
      <c r="E2199" s="2"/>
    </row>
    <row r="2200" spans="5:5" x14ac:dyDescent="0.3">
      <c r="E2200" s="2"/>
    </row>
    <row r="2201" spans="5:5" x14ac:dyDescent="0.3">
      <c r="E2201" s="2"/>
    </row>
    <row r="2202" spans="5:5" x14ac:dyDescent="0.3">
      <c r="E2202" s="2"/>
    </row>
    <row r="2203" spans="5:5" x14ac:dyDescent="0.3">
      <c r="E2203" s="2"/>
    </row>
    <row r="2204" spans="5:5" x14ac:dyDescent="0.3">
      <c r="E2204" s="2"/>
    </row>
    <row r="2205" spans="5:5" x14ac:dyDescent="0.3">
      <c r="E2205" s="2"/>
    </row>
    <row r="2206" spans="5:5" x14ac:dyDescent="0.3">
      <c r="E2206" s="2"/>
    </row>
    <row r="2207" spans="5:5" x14ac:dyDescent="0.3">
      <c r="E2207" s="2"/>
    </row>
    <row r="2208" spans="5:5" x14ac:dyDescent="0.3">
      <c r="E2208" s="2"/>
    </row>
    <row r="2209" spans="5:5" x14ac:dyDescent="0.3">
      <c r="E2209" s="2"/>
    </row>
    <row r="2210" spans="5:5" x14ac:dyDescent="0.3">
      <c r="E2210" s="2"/>
    </row>
    <row r="2211" spans="5:5" x14ac:dyDescent="0.3">
      <c r="E2211" s="2"/>
    </row>
    <row r="2212" spans="5:5" x14ac:dyDescent="0.3">
      <c r="E2212" s="2"/>
    </row>
    <row r="2213" spans="5:5" x14ac:dyDescent="0.3">
      <c r="E2213" s="2"/>
    </row>
    <row r="2214" spans="5:5" x14ac:dyDescent="0.3">
      <c r="E2214" s="2"/>
    </row>
    <row r="2215" spans="5:5" x14ac:dyDescent="0.3">
      <c r="E2215" s="2"/>
    </row>
    <row r="2216" spans="5:5" x14ac:dyDescent="0.3">
      <c r="E2216" s="2"/>
    </row>
    <row r="2217" spans="5:5" x14ac:dyDescent="0.3">
      <c r="E2217" s="2"/>
    </row>
    <row r="2218" spans="5:5" x14ac:dyDescent="0.3">
      <c r="E2218" s="2"/>
    </row>
    <row r="2219" spans="5:5" x14ac:dyDescent="0.3">
      <c r="E2219" s="2"/>
    </row>
    <row r="2220" spans="5:5" x14ac:dyDescent="0.3">
      <c r="E2220" s="2"/>
    </row>
    <row r="2221" spans="5:5" x14ac:dyDescent="0.3">
      <c r="E2221" s="2"/>
    </row>
    <row r="2222" spans="5:5" x14ac:dyDescent="0.3">
      <c r="E2222" s="2"/>
    </row>
    <row r="2223" spans="5:5" x14ac:dyDescent="0.3">
      <c r="E2223" s="2"/>
    </row>
    <row r="2224" spans="5:5" x14ac:dyDescent="0.3">
      <c r="E2224" s="2"/>
    </row>
    <row r="2225" spans="5:5" x14ac:dyDescent="0.3">
      <c r="E2225" s="2"/>
    </row>
    <row r="2226" spans="5:5" x14ac:dyDescent="0.3">
      <c r="E2226" s="2"/>
    </row>
    <row r="2227" spans="5:5" x14ac:dyDescent="0.3">
      <c r="E2227" s="2"/>
    </row>
    <row r="2228" spans="5:5" x14ac:dyDescent="0.3">
      <c r="E2228" s="2"/>
    </row>
    <row r="2229" spans="5:5" x14ac:dyDescent="0.3">
      <c r="E2229" s="2"/>
    </row>
    <row r="2230" spans="5:5" x14ac:dyDescent="0.3">
      <c r="E2230" s="2"/>
    </row>
    <row r="2231" spans="5:5" x14ac:dyDescent="0.3">
      <c r="E2231" s="2"/>
    </row>
    <row r="2232" spans="5:5" x14ac:dyDescent="0.3">
      <c r="E2232" s="2"/>
    </row>
    <row r="2233" spans="5:5" x14ac:dyDescent="0.3">
      <c r="E2233" s="2"/>
    </row>
    <row r="2234" spans="5:5" x14ac:dyDescent="0.3">
      <c r="E2234" s="2"/>
    </row>
    <row r="2235" spans="5:5" x14ac:dyDescent="0.3">
      <c r="E2235" s="2"/>
    </row>
    <row r="2236" spans="5:5" x14ac:dyDescent="0.3">
      <c r="E2236" s="2"/>
    </row>
    <row r="2237" spans="5:5" x14ac:dyDescent="0.3">
      <c r="E2237" s="2"/>
    </row>
    <row r="2238" spans="5:5" x14ac:dyDescent="0.3">
      <c r="E2238" s="2"/>
    </row>
    <row r="2239" spans="5:5" x14ac:dyDescent="0.3">
      <c r="E2239" s="2"/>
    </row>
    <row r="2240" spans="5:5" x14ac:dyDescent="0.3">
      <c r="E2240" s="2"/>
    </row>
    <row r="2241" spans="5:5" x14ac:dyDescent="0.3">
      <c r="E2241" s="2"/>
    </row>
    <row r="2242" spans="5:5" x14ac:dyDescent="0.3">
      <c r="E2242" s="2"/>
    </row>
    <row r="2243" spans="5:5" x14ac:dyDescent="0.3">
      <c r="E2243" s="2"/>
    </row>
    <row r="2244" spans="5:5" x14ac:dyDescent="0.3">
      <c r="E2244" s="2"/>
    </row>
    <row r="2245" spans="5:5" x14ac:dyDescent="0.3">
      <c r="E2245" s="2"/>
    </row>
    <row r="2246" spans="5:5" x14ac:dyDescent="0.3">
      <c r="E2246" s="2"/>
    </row>
    <row r="2247" spans="5:5" x14ac:dyDescent="0.3">
      <c r="E2247" s="2"/>
    </row>
    <row r="2248" spans="5:5" x14ac:dyDescent="0.3">
      <c r="E2248" s="2"/>
    </row>
    <row r="2249" spans="5:5" x14ac:dyDescent="0.3">
      <c r="E2249" s="2"/>
    </row>
    <row r="2250" spans="5:5" x14ac:dyDescent="0.3">
      <c r="E2250" s="2"/>
    </row>
    <row r="2251" spans="5:5" x14ac:dyDescent="0.3">
      <c r="E2251" s="2"/>
    </row>
    <row r="2252" spans="5:5" x14ac:dyDescent="0.3">
      <c r="E2252" s="2"/>
    </row>
    <row r="2253" spans="5:5" x14ac:dyDescent="0.3">
      <c r="E2253" s="2"/>
    </row>
    <row r="2254" spans="5:5" x14ac:dyDescent="0.3">
      <c r="E2254" s="2"/>
    </row>
    <row r="2255" spans="5:5" x14ac:dyDescent="0.3">
      <c r="E2255" s="2"/>
    </row>
    <row r="2256" spans="5:5" x14ac:dyDescent="0.3">
      <c r="E2256" s="2"/>
    </row>
    <row r="2257" spans="5:5" x14ac:dyDescent="0.3">
      <c r="E2257" s="2"/>
    </row>
    <row r="2258" spans="5:5" x14ac:dyDescent="0.3">
      <c r="E2258" s="2"/>
    </row>
    <row r="2259" spans="5:5" x14ac:dyDescent="0.3">
      <c r="E2259" s="2"/>
    </row>
    <row r="2260" spans="5:5" x14ac:dyDescent="0.3">
      <c r="E2260" s="2"/>
    </row>
    <row r="2261" spans="5:5" x14ac:dyDescent="0.3">
      <c r="E2261" s="2"/>
    </row>
    <row r="2262" spans="5:5" x14ac:dyDescent="0.3">
      <c r="E2262" s="2"/>
    </row>
    <row r="2263" spans="5:5" x14ac:dyDescent="0.3">
      <c r="E2263" s="2"/>
    </row>
    <row r="2264" spans="5:5" x14ac:dyDescent="0.3">
      <c r="E2264" s="2"/>
    </row>
    <row r="2265" spans="5:5" x14ac:dyDescent="0.3">
      <c r="E2265" s="2"/>
    </row>
    <row r="2266" spans="5:5" x14ac:dyDescent="0.3">
      <c r="E2266" s="2"/>
    </row>
    <row r="2267" spans="5:5" x14ac:dyDescent="0.3">
      <c r="E2267" s="2"/>
    </row>
    <row r="2268" spans="5:5" x14ac:dyDescent="0.3">
      <c r="E2268" s="2"/>
    </row>
    <row r="2269" spans="5:5" x14ac:dyDescent="0.3">
      <c r="E2269" s="2"/>
    </row>
    <row r="2270" spans="5:5" x14ac:dyDescent="0.3">
      <c r="E2270" s="2"/>
    </row>
    <row r="2271" spans="5:5" x14ac:dyDescent="0.3">
      <c r="E2271" s="2"/>
    </row>
    <row r="2272" spans="5:5" x14ac:dyDescent="0.3">
      <c r="E2272" s="2"/>
    </row>
    <row r="2273" spans="5:5" x14ac:dyDescent="0.3">
      <c r="E2273" s="2"/>
    </row>
    <row r="2274" spans="5:5" x14ac:dyDescent="0.3">
      <c r="E2274" s="2"/>
    </row>
    <row r="2275" spans="5:5" x14ac:dyDescent="0.3">
      <c r="E2275" s="2"/>
    </row>
    <row r="2276" spans="5:5" x14ac:dyDescent="0.3">
      <c r="E2276" s="2"/>
    </row>
    <row r="2277" spans="5:5" x14ac:dyDescent="0.3">
      <c r="E2277" s="2"/>
    </row>
    <row r="2278" spans="5:5" x14ac:dyDescent="0.3">
      <c r="E2278" s="2"/>
    </row>
    <row r="2279" spans="5:5" x14ac:dyDescent="0.3">
      <c r="E2279" s="2"/>
    </row>
    <row r="2280" spans="5:5" x14ac:dyDescent="0.3">
      <c r="E2280" s="2"/>
    </row>
    <row r="2281" spans="5:5" x14ac:dyDescent="0.3">
      <c r="E2281" s="2"/>
    </row>
    <row r="2282" spans="5:5" x14ac:dyDescent="0.3">
      <c r="E2282" s="2"/>
    </row>
    <row r="2283" spans="5:5" x14ac:dyDescent="0.3">
      <c r="E2283" s="2"/>
    </row>
    <row r="2284" spans="5:5" x14ac:dyDescent="0.3">
      <c r="E2284" s="2"/>
    </row>
    <row r="2285" spans="5:5" x14ac:dyDescent="0.3">
      <c r="E2285" s="2"/>
    </row>
    <row r="2286" spans="5:5" x14ac:dyDescent="0.3">
      <c r="E2286" s="2"/>
    </row>
    <row r="2287" spans="5:5" x14ac:dyDescent="0.3">
      <c r="E2287" s="2"/>
    </row>
    <row r="2288" spans="5:5" x14ac:dyDescent="0.3">
      <c r="E2288" s="2"/>
    </row>
    <row r="2289" spans="5:5" x14ac:dyDescent="0.3">
      <c r="E2289" s="2"/>
    </row>
    <row r="2290" spans="5:5" x14ac:dyDescent="0.3">
      <c r="E2290" s="2"/>
    </row>
    <row r="2291" spans="5:5" x14ac:dyDescent="0.3">
      <c r="E2291" s="2"/>
    </row>
    <row r="2292" spans="5:5" x14ac:dyDescent="0.3">
      <c r="E2292" s="2"/>
    </row>
    <row r="2293" spans="5:5" x14ac:dyDescent="0.3">
      <c r="E2293" s="2"/>
    </row>
    <row r="2294" spans="5:5" x14ac:dyDescent="0.3">
      <c r="E2294" s="2"/>
    </row>
    <row r="2295" spans="5:5" x14ac:dyDescent="0.3">
      <c r="E2295" s="2"/>
    </row>
    <row r="2296" spans="5:5" x14ac:dyDescent="0.3">
      <c r="E2296" s="2"/>
    </row>
    <row r="2297" spans="5:5" x14ac:dyDescent="0.3">
      <c r="E2297" s="2"/>
    </row>
    <row r="2298" spans="5:5" x14ac:dyDescent="0.3">
      <c r="E2298" s="2"/>
    </row>
    <row r="2299" spans="5:5" x14ac:dyDescent="0.3">
      <c r="E2299" s="2"/>
    </row>
    <row r="2300" spans="5:5" x14ac:dyDescent="0.3">
      <c r="E2300" s="2"/>
    </row>
    <row r="2301" spans="5:5" x14ac:dyDescent="0.3">
      <c r="E2301" s="2"/>
    </row>
    <row r="2302" spans="5:5" x14ac:dyDescent="0.3">
      <c r="E2302" s="2"/>
    </row>
    <row r="2303" spans="5:5" x14ac:dyDescent="0.3">
      <c r="E2303" s="2"/>
    </row>
    <row r="2304" spans="5:5" x14ac:dyDescent="0.3">
      <c r="E2304" s="2"/>
    </row>
    <row r="2305" spans="5:5" x14ac:dyDescent="0.3">
      <c r="E2305" s="2"/>
    </row>
    <row r="2306" spans="5:5" x14ac:dyDescent="0.3">
      <c r="E2306" s="2"/>
    </row>
    <row r="2307" spans="5:5" x14ac:dyDescent="0.3">
      <c r="E2307" s="2"/>
    </row>
    <row r="2308" spans="5:5" x14ac:dyDescent="0.3">
      <c r="E2308" s="2"/>
    </row>
    <row r="2309" spans="5:5" x14ac:dyDescent="0.3">
      <c r="E2309" s="2"/>
    </row>
    <row r="2310" spans="5:5" x14ac:dyDescent="0.3">
      <c r="E2310" s="2"/>
    </row>
    <row r="2311" spans="5:5" x14ac:dyDescent="0.3">
      <c r="E2311" s="2"/>
    </row>
    <row r="2312" spans="5:5" x14ac:dyDescent="0.3">
      <c r="E2312" s="2"/>
    </row>
    <row r="2313" spans="5:5" x14ac:dyDescent="0.3">
      <c r="E2313" s="2"/>
    </row>
    <row r="2314" spans="5:5" x14ac:dyDescent="0.3">
      <c r="E2314" s="2"/>
    </row>
    <row r="2315" spans="5:5" x14ac:dyDescent="0.3">
      <c r="E2315" s="2"/>
    </row>
    <row r="2316" spans="5:5" x14ac:dyDescent="0.3">
      <c r="E2316" s="2"/>
    </row>
    <row r="2317" spans="5:5" x14ac:dyDescent="0.3">
      <c r="E2317" s="2"/>
    </row>
    <row r="2318" spans="5:5" x14ac:dyDescent="0.3">
      <c r="E2318" s="2"/>
    </row>
    <row r="2319" spans="5:5" x14ac:dyDescent="0.3">
      <c r="E2319" s="2"/>
    </row>
    <row r="2320" spans="5:5" x14ac:dyDescent="0.3">
      <c r="E2320" s="2"/>
    </row>
    <row r="2321" spans="5:5" x14ac:dyDescent="0.3">
      <c r="E2321" s="2"/>
    </row>
    <row r="2322" spans="5:5" x14ac:dyDescent="0.3">
      <c r="E2322" s="2"/>
    </row>
    <row r="2323" spans="5:5" x14ac:dyDescent="0.3">
      <c r="E2323" s="2"/>
    </row>
    <row r="2324" spans="5:5" x14ac:dyDescent="0.3">
      <c r="E2324" s="2"/>
    </row>
    <row r="2325" spans="5:5" x14ac:dyDescent="0.3">
      <c r="E2325" s="2"/>
    </row>
    <row r="2326" spans="5:5" x14ac:dyDescent="0.3">
      <c r="E2326" s="2"/>
    </row>
    <row r="2327" spans="5:5" x14ac:dyDescent="0.3">
      <c r="E2327" s="2"/>
    </row>
    <row r="2328" spans="5:5" x14ac:dyDescent="0.3">
      <c r="E2328" s="2"/>
    </row>
    <row r="2329" spans="5:5" x14ac:dyDescent="0.3">
      <c r="E2329" s="2"/>
    </row>
    <row r="2330" spans="5:5" x14ac:dyDescent="0.3">
      <c r="E2330" s="2"/>
    </row>
    <row r="2331" spans="5:5" x14ac:dyDescent="0.3">
      <c r="E2331" s="2"/>
    </row>
    <row r="2332" spans="5:5" x14ac:dyDescent="0.3">
      <c r="E2332" s="2"/>
    </row>
    <row r="2333" spans="5:5" x14ac:dyDescent="0.3">
      <c r="E2333" s="2"/>
    </row>
    <row r="2334" spans="5:5" x14ac:dyDescent="0.3">
      <c r="E2334" s="2"/>
    </row>
    <row r="2335" spans="5:5" x14ac:dyDescent="0.3">
      <c r="E2335" s="2"/>
    </row>
    <row r="2336" spans="5:5" x14ac:dyDescent="0.3">
      <c r="E2336" s="2"/>
    </row>
    <row r="2337" spans="5:5" x14ac:dyDescent="0.3">
      <c r="E2337" s="2"/>
    </row>
    <row r="2338" spans="5:5" x14ac:dyDescent="0.3">
      <c r="E2338" s="2"/>
    </row>
    <row r="2339" spans="5:5" x14ac:dyDescent="0.3">
      <c r="E2339" s="2"/>
    </row>
    <row r="2340" spans="5:5" x14ac:dyDescent="0.3">
      <c r="E2340" s="2"/>
    </row>
    <row r="2341" spans="5:5" x14ac:dyDescent="0.3">
      <c r="E2341" s="2"/>
    </row>
    <row r="2342" spans="5:5" x14ac:dyDescent="0.3">
      <c r="E2342" s="2"/>
    </row>
    <row r="2343" spans="5:5" x14ac:dyDescent="0.3">
      <c r="E2343" s="2"/>
    </row>
    <row r="2344" spans="5:5" x14ac:dyDescent="0.3">
      <c r="E2344" s="2"/>
    </row>
    <row r="2345" spans="5:5" x14ac:dyDescent="0.3">
      <c r="E2345" s="2"/>
    </row>
    <row r="2346" spans="5:5" x14ac:dyDescent="0.3">
      <c r="E2346" s="2"/>
    </row>
    <row r="2347" spans="5:5" x14ac:dyDescent="0.3">
      <c r="E2347" s="2"/>
    </row>
    <row r="2348" spans="5:5" x14ac:dyDescent="0.3">
      <c r="E2348" s="2"/>
    </row>
    <row r="2349" spans="5:5" x14ac:dyDescent="0.3">
      <c r="E2349" s="2"/>
    </row>
    <row r="2350" spans="5:5" x14ac:dyDescent="0.3">
      <c r="E2350" s="2"/>
    </row>
    <row r="2351" spans="5:5" x14ac:dyDescent="0.3">
      <c r="E2351" s="2"/>
    </row>
    <row r="2352" spans="5:5" x14ac:dyDescent="0.3">
      <c r="E2352" s="2"/>
    </row>
    <row r="2353" spans="5:5" x14ac:dyDescent="0.3">
      <c r="E2353" s="2"/>
    </row>
    <row r="2354" spans="5:5" x14ac:dyDescent="0.3">
      <c r="E2354" s="2"/>
    </row>
    <row r="2355" spans="5:5" x14ac:dyDescent="0.3">
      <c r="E2355" s="2"/>
    </row>
    <row r="2356" spans="5:5" x14ac:dyDescent="0.3">
      <c r="E2356" s="2"/>
    </row>
    <row r="2357" spans="5:5" x14ac:dyDescent="0.3">
      <c r="E2357" s="2"/>
    </row>
    <row r="2358" spans="5:5" x14ac:dyDescent="0.3">
      <c r="E2358" s="2"/>
    </row>
    <row r="2359" spans="5:5" x14ac:dyDescent="0.3">
      <c r="E2359" s="2"/>
    </row>
    <row r="2360" spans="5:5" x14ac:dyDescent="0.3">
      <c r="E2360" s="2"/>
    </row>
    <row r="2361" spans="5:5" x14ac:dyDescent="0.3">
      <c r="E2361" s="2"/>
    </row>
    <row r="2362" spans="5:5" x14ac:dyDescent="0.3">
      <c r="E2362" s="2"/>
    </row>
    <row r="2363" spans="5:5" x14ac:dyDescent="0.3">
      <c r="E2363" s="2"/>
    </row>
    <row r="2364" spans="5:5" x14ac:dyDescent="0.3">
      <c r="E2364" s="2"/>
    </row>
    <row r="2365" spans="5:5" x14ac:dyDescent="0.3">
      <c r="E2365" s="2"/>
    </row>
    <row r="2366" spans="5:5" x14ac:dyDescent="0.3">
      <c r="E2366" s="2"/>
    </row>
    <row r="2367" spans="5:5" x14ac:dyDescent="0.3">
      <c r="E2367" s="2"/>
    </row>
    <row r="2368" spans="5:5" x14ac:dyDescent="0.3">
      <c r="E2368" s="2"/>
    </row>
    <row r="2369" spans="5:5" x14ac:dyDescent="0.3">
      <c r="E2369" s="2"/>
    </row>
    <row r="2370" spans="5:5" x14ac:dyDescent="0.3">
      <c r="E2370" s="2"/>
    </row>
    <row r="2371" spans="5:5" x14ac:dyDescent="0.3">
      <c r="E2371" s="2"/>
    </row>
    <row r="2372" spans="5:5" x14ac:dyDescent="0.3">
      <c r="E2372" s="2"/>
    </row>
    <row r="2373" spans="5:5" x14ac:dyDescent="0.3">
      <c r="E2373" s="2"/>
    </row>
    <row r="2374" spans="5:5" x14ac:dyDescent="0.3">
      <c r="E2374" s="2"/>
    </row>
    <row r="2375" spans="5:5" x14ac:dyDescent="0.3">
      <c r="E2375" s="2"/>
    </row>
    <row r="2376" spans="5:5" x14ac:dyDescent="0.3">
      <c r="E2376" s="2"/>
    </row>
    <row r="2377" spans="5:5" x14ac:dyDescent="0.3">
      <c r="E2377" s="2"/>
    </row>
    <row r="2378" spans="5:5" x14ac:dyDescent="0.3">
      <c r="E2378" s="2"/>
    </row>
    <row r="2379" spans="5:5" x14ac:dyDescent="0.3">
      <c r="E2379" s="2"/>
    </row>
    <row r="2380" spans="5:5" x14ac:dyDescent="0.3">
      <c r="E2380" s="2"/>
    </row>
    <row r="2381" spans="5:5" x14ac:dyDescent="0.3">
      <c r="E2381" s="2"/>
    </row>
    <row r="2382" spans="5:5" x14ac:dyDescent="0.3">
      <c r="E2382" s="2"/>
    </row>
    <row r="2383" spans="5:5" x14ac:dyDescent="0.3">
      <c r="E2383" s="2"/>
    </row>
    <row r="2384" spans="5:5" x14ac:dyDescent="0.3">
      <c r="E2384" s="2"/>
    </row>
    <row r="2385" spans="5:5" x14ac:dyDescent="0.3">
      <c r="E2385" s="2"/>
    </row>
    <row r="2386" spans="5:5" x14ac:dyDescent="0.3">
      <c r="E2386" s="2"/>
    </row>
    <row r="2387" spans="5:5" x14ac:dyDescent="0.3">
      <c r="E2387" s="2"/>
    </row>
    <row r="2388" spans="5:5" x14ac:dyDescent="0.3">
      <c r="E2388" s="2"/>
    </row>
    <row r="2389" spans="5:5" x14ac:dyDescent="0.3">
      <c r="E2389" s="2"/>
    </row>
    <row r="2390" spans="5:5" x14ac:dyDescent="0.3">
      <c r="E2390" s="2"/>
    </row>
    <row r="2391" spans="5:5" x14ac:dyDescent="0.3">
      <c r="E2391" s="2"/>
    </row>
    <row r="2392" spans="5:5" x14ac:dyDescent="0.3">
      <c r="E2392" s="2"/>
    </row>
    <row r="2393" spans="5:5" x14ac:dyDescent="0.3">
      <c r="E2393" s="2"/>
    </row>
    <row r="2394" spans="5:5" x14ac:dyDescent="0.3">
      <c r="E2394" s="2"/>
    </row>
    <row r="2395" spans="5:5" x14ac:dyDescent="0.3">
      <c r="E2395" s="2"/>
    </row>
    <row r="2396" spans="5:5" x14ac:dyDescent="0.3">
      <c r="E2396" s="2"/>
    </row>
    <row r="2397" spans="5:5" x14ac:dyDescent="0.3">
      <c r="E2397" s="2"/>
    </row>
    <row r="2398" spans="5:5" x14ac:dyDescent="0.3">
      <c r="E2398" s="2"/>
    </row>
    <row r="2399" spans="5:5" x14ac:dyDescent="0.3">
      <c r="E2399" s="2"/>
    </row>
    <row r="2400" spans="5:5" x14ac:dyDescent="0.3">
      <c r="E2400" s="2"/>
    </row>
    <row r="2401" spans="5:5" x14ac:dyDescent="0.3">
      <c r="E2401" s="2"/>
    </row>
    <row r="2402" spans="5:5" x14ac:dyDescent="0.3">
      <c r="E2402" s="2"/>
    </row>
    <row r="2403" spans="5:5" x14ac:dyDescent="0.3">
      <c r="E2403" s="2"/>
    </row>
    <row r="2404" spans="5:5" x14ac:dyDescent="0.3">
      <c r="E2404" s="2"/>
    </row>
    <row r="2405" spans="5:5" x14ac:dyDescent="0.3">
      <c r="E2405" s="2"/>
    </row>
    <row r="2406" spans="5:5" x14ac:dyDescent="0.3">
      <c r="E2406" s="2"/>
    </row>
    <row r="2407" spans="5:5" x14ac:dyDescent="0.3">
      <c r="E2407" s="2"/>
    </row>
    <row r="2408" spans="5:5" x14ac:dyDescent="0.3">
      <c r="E2408" s="2"/>
    </row>
    <row r="2409" spans="5:5" x14ac:dyDescent="0.3">
      <c r="E2409" s="2"/>
    </row>
    <row r="2410" spans="5:5" x14ac:dyDescent="0.3">
      <c r="E2410" s="2"/>
    </row>
    <row r="2411" spans="5:5" x14ac:dyDescent="0.3">
      <c r="E2411" s="2"/>
    </row>
    <row r="2412" spans="5:5" x14ac:dyDescent="0.3">
      <c r="E2412" s="2"/>
    </row>
    <row r="2413" spans="5:5" x14ac:dyDescent="0.3">
      <c r="E2413" s="2"/>
    </row>
    <row r="2414" spans="5:5" x14ac:dyDescent="0.3">
      <c r="E2414" s="2"/>
    </row>
    <row r="2415" spans="5:5" x14ac:dyDescent="0.3">
      <c r="E2415" s="2"/>
    </row>
    <row r="2416" spans="5:5" x14ac:dyDescent="0.3">
      <c r="E2416" s="2"/>
    </row>
    <row r="2417" spans="5:5" x14ac:dyDescent="0.3">
      <c r="E2417" s="2"/>
    </row>
    <row r="2418" spans="5:5" x14ac:dyDescent="0.3">
      <c r="E2418" s="2"/>
    </row>
    <row r="2419" spans="5:5" x14ac:dyDescent="0.3">
      <c r="E2419" s="2"/>
    </row>
    <row r="2420" spans="5:5" x14ac:dyDescent="0.3">
      <c r="E2420" s="2"/>
    </row>
    <row r="2421" spans="5:5" x14ac:dyDescent="0.3">
      <c r="E2421" s="2"/>
    </row>
    <row r="2422" spans="5:5" x14ac:dyDescent="0.3">
      <c r="E2422" s="2"/>
    </row>
    <row r="2423" spans="5:5" x14ac:dyDescent="0.3">
      <c r="E2423" s="2"/>
    </row>
    <row r="2424" spans="5:5" x14ac:dyDescent="0.3">
      <c r="E2424" s="2"/>
    </row>
    <row r="2425" spans="5:5" x14ac:dyDescent="0.3">
      <c r="E2425" s="2"/>
    </row>
    <row r="2426" spans="5:5" x14ac:dyDescent="0.3">
      <c r="E2426" s="2"/>
    </row>
    <row r="2427" spans="5:5" x14ac:dyDescent="0.3">
      <c r="E2427" s="2"/>
    </row>
    <row r="2428" spans="5:5" x14ac:dyDescent="0.3">
      <c r="E2428" s="2"/>
    </row>
    <row r="2429" spans="5:5" x14ac:dyDescent="0.3">
      <c r="E2429" s="2"/>
    </row>
    <row r="2430" spans="5:5" x14ac:dyDescent="0.3">
      <c r="E2430" s="2"/>
    </row>
    <row r="2431" spans="5:5" x14ac:dyDescent="0.3">
      <c r="E2431" s="2"/>
    </row>
    <row r="2432" spans="5:5" x14ac:dyDescent="0.3">
      <c r="E2432" s="2"/>
    </row>
    <row r="2433" spans="5:5" x14ac:dyDescent="0.3">
      <c r="E2433" s="2"/>
    </row>
    <row r="2434" spans="5:5" x14ac:dyDescent="0.3">
      <c r="E2434" s="2"/>
    </row>
    <row r="2435" spans="5:5" x14ac:dyDescent="0.3">
      <c r="E2435" s="2"/>
    </row>
    <row r="2436" spans="5:5" x14ac:dyDescent="0.3">
      <c r="E2436" s="2"/>
    </row>
    <row r="2437" spans="5:5" x14ac:dyDescent="0.3">
      <c r="E2437" s="2"/>
    </row>
    <row r="2438" spans="5:5" x14ac:dyDescent="0.3">
      <c r="E2438" s="2"/>
    </row>
    <row r="2439" spans="5:5" x14ac:dyDescent="0.3">
      <c r="E2439" s="2"/>
    </row>
    <row r="2440" spans="5:5" x14ac:dyDescent="0.3">
      <c r="E2440" s="2"/>
    </row>
    <row r="2441" spans="5:5" x14ac:dyDescent="0.3">
      <c r="E2441" s="2"/>
    </row>
    <row r="2442" spans="5:5" x14ac:dyDescent="0.3">
      <c r="E2442" s="2"/>
    </row>
    <row r="2443" spans="5:5" x14ac:dyDescent="0.3">
      <c r="E2443" s="2"/>
    </row>
    <row r="2444" spans="5:5" x14ac:dyDescent="0.3">
      <c r="E2444" s="2"/>
    </row>
    <row r="2445" spans="5:5" x14ac:dyDescent="0.3">
      <c r="E2445" s="2"/>
    </row>
    <row r="2446" spans="5:5" x14ac:dyDescent="0.3">
      <c r="E2446" s="2"/>
    </row>
    <row r="2447" spans="5:5" x14ac:dyDescent="0.3">
      <c r="E2447" s="2"/>
    </row>
    <row r="2448" spans="5:5" x14ac:dyDescent="0.3">
      <c r="E2448" s="2"/>
    </row>
    <row r="2449" spans="5:5" x14ac:dyDescent="0.3">
      <c r="E2449" s="2"/>
    </row>
    <row r="2450" spans="5:5" x14ac:dyDescent="0.3">
      <c r="E2450" s="2"/>
    </row>
    <row r="2451" spans="5:5" x14ac:dyDescent="0.3">
      <c r="E2451" s="2"/>
    </row>
    <row r="2452" spans="5:5" x14ac:dyDescent="0.3">
      <c r="E2452" s="2"/>
    </row>
    <row r="2453" spans="5:5" x14ac:dyDescent="0.3">
      <c r="E2453" s="2"/>
    </row>
    <row r="2454" spans="5:5" x14ac:dyDescent="0.3">
      <c r="E2454" s="2"/>
    </row>
    <row r="2455" spans="5:5" x14ac:dyDescent="0.3">
      <c r="E2455" s="2"/>
    </row>
    <row r="2456" spans="5:5" x14ac:dyDescent="0.3">
      <c r="E2456" s="2"/>
    </row>
    <row r="2457" spans="5:5" x14ac:dyDescent="0.3">
      <c r="E2457" s="2"/>
    </row>
    <row r="2458" spans="5:5" x14ac:dyDescent="0.3">
      <c r="E2458" s="2"/>
    </row>
    <row r="2459" spans="5:5" x14ac:dyDescent="0.3">
      <c r="E2459" s="2"/>
    </row>
    <row r="2460" spans="5:5" x14ac:dyDescent="0.3">
      <c r="E2460" s="2"/>
    </row>
    <row r="2461" spans="5:5" x14ac:dyDescent="0.3">
      <c r="E2461" s="2"/>
    </row>
    <row r="2462" spans="5:5" x14ac:dyDescent="0.3">
      <c r="E2462" s="2"/>
    </row>
    <row r="2463" spans="5:5" x14ac:dyDescent="0.3">
      <c r="E2463" s="2"/>
    </row>
    <row r="2464" spans="5:5" x14ac:dyDescent="0.3">
      <c r="E2464" s="2"/>
    </row>
    <row r="2465" spans="5:5" x14ac:dyDescent="0.3">
      <c r="E2465" s="2"/>
    </row>
    <row r="2466" spans="5:5" x14ac:dyDescent="0.3">
      <c r="E2466" s="2"/>
    </row>
    <row r="2467" spans="5:5" x14ac:dyDescent="0.3">
      <c r="E2467" s="2"/>
    </row>
    <row r="2468" spans="5:5" x14ac:dyDescent="0.3">
      <c r="E2468" s="2"/>
    </row>
    <row r="2469" spans="5:5" x14ac:dyDescent="0.3">
      <c r="E2469" s="2"/>
    </row>
    <row r="2470" spans="5:5" x14ac:dyDescent="0.3">
      <c r="E2470" s="2"/>
    </row>
    <row r="2471" spans="5:5" x14ac:dyDescent="0.3">
      <c r="E2471" s="2"/>
    </row>
    <row r="2472" spans="5:5" x14ac:dyDescent="0.3">
      <c r="E2472" s="2"/>
    </row>
    <row r="2473" spans="5:5" x14ac:dyDescent="0.3">
      <c r="E2473" s="2"/>
    </row>
    <row r="2474" spans="5:5" x14ac:dyDescent="0.3">
      <c r="E2474" s="2"/>
    </row>
    <row r="2475" spans="5:5" x14ac:dyDescent="0.3">
      <c r="E2475" s="2"/>
    </row>
    <row r="2476" spans="5:5" x14ac:dyDescent="0.3">
      <c r="E2476" s="2"/>
    </row>
    <row r="2477" spans="5:5" x14ac:dyDescent="0.3">
      <c r="E2477" s="2"/>
    </row>
    <row r="2478" spans="5:5" x14ac:dyDescent="0.3">
      <c r="E2478" s="2"/>
    </row>
    <row r="2479" spans="5:5" x14ac:dyDescent="0.3">
      <c r="E2479" s="2"/>
    </row>
    <row r="2480" spans="5:5" x14ac:dyDescent="0.3">
      <c r="E2480" s="2"/>
    </row>
    <row r="2481" spans="5:5" x14ac:dyDescent="0.3">
      <c r="E2481" s="2"/>
    </row>
    <row r="2482" spans="5:5" x14ac:dyDescent="0.3">
      <c r="E2482" s="2"/>
    </row>
    <row r="2483" spans="5:5" x14ac:dyDescent="0.3">
      <c r="E2483" s="2"/>
    </row>
    <row r="2484" spans="5:5" x14ac:dyDescent="0.3">
      <c r="E2484" s="2"/>
    </row>
    <row r="2485" spans="5:5" x14ac:dyDescent="0.3">
      <c r="E2485" s="2"/>
    </row>
    <row r="2486" spans="5:5" x14ac:dyDescent="0.3">
      <c r="E2486" s="2"/>
    </row>
    <row r="2487" spans="5:5" x14ac:dyDescent="0.3">
      <c r="E2487" s="2"/>
    </row>
    <row r="2488" spans="5:5" x14ac:dyDescent="0.3">
      <c r="E2488" s="2"/>
    </row>
    <row r="2489" spans="5:5" x14ac:dyDescent="0.3">
      <c r="E2489" s="2"/>
    </row>
    <row r="2490" spans="5:5" x14ac:dyDescent="0.3">
      <c r="E2490" s="2"/>
    </row>
    <row r="2491" spans="5:5" x14ac:dyDescent="0.3">
      <c r="E2491" s="2"/>
    </row>
    <row r="2492" spans="5:5" x14ac:dyDescent="0.3">
      <c r="E2492" s="2"/>
    </row>
    <row r="2493" spans="5:5" x14ac:dyDescent="0.3">
      <c r="E2493" s="2"/>
    </row>
    <row r="2494" spans="5:5" x14ac:dyDescent="0.3">
      <c r="E2494" s="2"/>
    </row>
    <row r="2495" spans="5:5" x14ac:dyDescent="0.3">
      <c r="E2495" s="2"/>
    </row>
    <row r="2496" spans="5:5" x14ac:dyDescent="0.3">
      <c r="E2496" s="2"/>
    </row>
    <row r="2497" spans="5:5" x14ac:dyDescent="0.3">
      <c r="E2497" s="2"/>
    </row>
    <row r="2498" spans="5:5" x14ac:dyDescent="0.3">
      <c r="E2498" s="2"/>
    </row>
    <row r="2499" spans="5:5" x14ac:dyDescent="0.3">
      <c r="E2499" s="2"/>
    </row>
    <row r="2500" spans="5:5" x14ac:dyDescent="0.3">
      <c r="E2500" s="2"/>
    </row>
    <row r="2501" spans="5:5" x14ac:dyDescent="0.3">
      <c r="E2501" s="2"/>
    </row>
    <row r="2502" spans="5:5" x14ac:dyDescent="0.3">
      <c r="E2502" s="2"/>
    </row>
    <row r="2503" spans="5:5" x14ac:dyDescent="0.3">
      <c r="E2503" s="2"/>
    </row>
    <row r="2504" spans="5:5" x14ac:dyDescent="0.3">
      <c r="E2504" s="2"/>
    </row>
    <row r="2505" spans="5:5" x14ac:dyDescent="0.3">
      <c r="E2505" s="2"/>
    </row>
    <row r="2506" spans="5:5" x14ac:dyDescent="0.3">
      <c r="E2506" s="2"/>
    </row>
    <row r="2507" spans="5:5" x14ac:dyDescent="0.3">
      <c r="E2507" s="2"/>
    </row>
    <row r="2508" spans="5:5" x14ac:dyDescent="0.3">
      <c r="E2508" s="2"/>
    </row>
    <row r="2509" spans="5:5" x14ac:dyDescent="0.3">
      <c r="E2509" s="2"/>
    </row>
    <row r="2510" spans="5:5" x14ac:dyDescent="0.3">
      <c r="E2510" s="2"/>
    </row>
    <row r="2511" spans="5:5" x14ac:dyDescent="0.3">
      <c r="E2511" s="2"/>
    </row>
    <row r="2512" spans="5:5" x14ac:dyDescent="0.3">
      <c r="E2512" s="2"/>
    </row>
    <row r="2513" spans="5:5" x14ac:dyDescent="0.3">
      <c r="E2513" s="2"/>
    </row>
    <row r="2514" spans="5:5" x14ac:dyDescent="0.3">
      <c r="E2514" s="2"/>
    </row>
    <row r="2515" spans="5:5" x14ac:dyDescent="0.3">
      <c r="E2515" s="2"/>
    </row>
    <row r="2516" spans="5:5" x14ac:dyDescent="0.3">
      <c r="E2516" s="2"/>
    </row>
    <row r="2517" spans="5:5" x14ac:dyDescent="0.3">
      <c r="E2517" s="2"/>
    </row>
    <row r="2518" spans="5:5" x14ac:dyDescent="0.3">
      <c r="E2518" s="2"/>
    </row>
    <row r="2519" spans="5:5" x14ac:dyDescent="0.3">
      <c r="E2519" s="2"/>
    </row>
    <row r="2520" spans="5:5" x14ac:dyDescent="0.3">
      <c r="E2520" s="2"/>
    </row>
    <row r="2521" spans="5:5" x14ac:dyDescent="0.3">
      <c r="E2521" s="2"/>
    </row>
    <row r="2522" spans="5:5" x14ac:dyDescent="0.3">
      <c r="E2522" s="2"/>
    </row>
    <row r="2523" spans="5:5" x14ac:dyDescent="0.3">
      <c r="E2523" s="2"/>
    </row>
    <row r="2524" spans="5:5" x14ac:dyDescent="0.3">
      <c r="E2524" s="2"/>
    </row>
    <row r="2525" spans="5:5" x14ac:dyDescent="0.3">
      <c r="E2525" s="2"/>
    </row>
    <row r="2526" spans="5:5" x14ac:dyDescent="0.3">
      <c r="E2526" s="2"/>
    </row>
    <row r="2527" spans="5:5" x14ac:dyDescent="0.3">
      <c r="E2527" s="2"/>
    </row>
    <row r="2528" spans="5:5" x14ac:dyDescent="0.3">
      <c r="E2528" s="2"/>
    </row>
    <row r="2529" spans="5:5" x14ac:dyDescent="0.3">
      <c r="E2529" s="2"/>
    </row>
    <row r="2530" spans="5:5" x14ac:dyDescent="0.3">
      <c r="E2530" s="2"/>
    </row>
    <row r="2531" spans="5:5" x14ac:dyDescent="0.3">
      <c r="E2531" s="2"/>
    </row>
    <row r="2532" spans="5:5" x14ac:dyDescent="0.3">
      <c r="E2532" s="2"/>
    </row>
    <row r="2533" spans="5:5" x14ac:dyDescent="0.3">
      <c r="E2533" s="2"/>
    </row>
    <row r="2534" spans="5:5" x14ac:dyDescent="0.3">
      <c r="E2534" s="2"/>
    </row>
    <row r="2535" spans="5:5" x14ac:dyDescent="0.3">
      <c r="E2535" s="2"/>
    </row>
    <row r="2536" spans="5:5" x14ac:dyDescent="0.3">
      <c r="E2536" s="2"/>
    </row>
    <row r="2537" spans="5:5" x14ac:dyDescent="0.3">
      <c r="E2537" s="2"/>
    </row>
    <row r="2538" spans="5:5" x14ac:dyDescent="0.3">
      <c r="E2538" s="2"/>
    </row>
    <row r="2539" spans="5:5" x14ac:dyDescent="0.3">
      <c r="E2539" s="2"/>
    </row>
    <row r="2540" spans="5:5" x14ac:dyDescent="0.3">
      <c r="E2540" s="2"/>
    </row>
    <row r="2541" spans="5:5" x14ac:dyDescent="0.3">
      <c r="E2541" s="2"/>
    </row>
    <row r="2542" spans="5:5" x14ac:dyDescent="0.3">
      <c r="E2542" s="2"/>
    </row>
    <row r="2543" spans="5:5" x14ac:dyDescent="0.3">
      <c r="E2543" s="2"/>
    </row>
    <row r="2544" spans="5:5" x14ac:dyDescent="0.3">
      <c r="E2544" s="2"/>
    </row>
    <row r="2545" spans="5:5" x14ac:dyDescent="0.3">
      <c r="E2545" s="2"/>
    </row>
    <row r="2546" spans="5:5" x14ac:dyDescent="0.3">
      <c r="E2546" s="2"/>
    </row>
    <row r="2547" spans="5:5" x14ac:dyDescent="0.3">
      <c r="E2547" s="2"/>
    </row>
    <row r="2548" spans="5:5" x14ac:dyDescent="0.3">
      <c r="E2548" s="2"/>
    </row>
    <row r="2549" spans="5:5" x14ac:dyDescent="0.3">
      <c r="E2549" s="2"/>
    </row>
    <row r="2550" spans="5:5" x14ac:dyDescent="0.3">
      <c r="E2550" s="2"/>
    </row>
    <row r="2551" spans="5:5" x14ac:dyDescent="0.3">
      <c r="E2551" s="2"/>
    </row>
    <row r="2552" spans="5:5" x14ac:dyDescent="0.3">
      <c r="E2552" s="2"/>
    </row>
    <row r="2553" spans="5:5" x14ac:dyDescent="0.3">
      <c r="E2553" s="2"/>
    </row>
    <row r="2554" spans="5:5" x14ac:dyDescent="0.3">
      <c r="E2554" s="2"/>
    </row>
    <row r="2555" spans="5:5" x14ac:dyDescent="0.3">
      <c r="E2555" s="2"/>
    </row>
    <row r="2556" spans="5:5" x14ac:dyDescent="0.3">
      <c r="E2556" s="2"/>
    </row>
    <row r="2557" spans="5:5" x14ac:dyDescent="0.3">
      <c r="E2557" s="2"/>
    </row>
    <row r="2558" spans="5:5" x14ac:dyDescent="0.3">
      <c r="E2558" s="2"/>
    </row>
    <row r="2559" spans="5:5" x14ac:dyDescent="0.3">
      <c r="E2559" s="2"/>
    </row>
    <row r="2560" spans="5:5" x14ac:dyDescent="0.3">
      <c r="E2560" s="2"/>
    </row>
    <row r="2561" spans="5:5" x14ac:dyDescent="0.3">
      <c r="E2561" s="2"/>
    </row>
    <row r="2562" spans="5:5" x14ac:dyDescent="0.3">
      <c r="E2562" s="2"/>
    </row>
    <row r="2563" spans="5:5" x14ac:dyDescent="0.3">
      <c r="E2563" s="2"/>
    </row>
    <row r="2564" spans="5:5" x14ac:dyDescent="0.3">
      <c r="E2564" s="2"/>
    </row>
    <row r="2565" spans="5:5" x14ac:dyDescent="0.3">
      <c r="E2565" s="2"/>
    </row>
    <row r="2566" spans="5:5" x14ac:dyDescent="0.3">
      <c r="E2566" s="2"/>
    </row>
    <row r="2567" spans="5:5" x14ac:dyDescent="0.3">
      <c r="E2567" s="2"/>
    </row>
    <row r="2568" spans="5:5" x14ac:dyDescent="0.3">
      <c r="E2568" s="2"/>
    </row>
    <row r="2569" spans="5:5" x14ac:dyDescent="0.3">
      <c r="E2569" s="2"/>
    </row>
    <row r="2570" spans="5:5" x14ac:dyDescent="0.3">
      <c r="E2570" s="2"/>
    </row>
    <row r="2571" spans="5:5" x14ac:dyDescent="0.3">
      <c r="E2571" s="2"/>
    </row>
    <row r="2572" spans="5:5" x14ac:dyDescent="0.3">
      <c r="E2572" s="2"/>
    </row>
    <row r="2573" spans="5:5" x14ac:dyDescent="0.3">
      <c r="E2573" s="2"/>
    </row>
    <row r="2574" spans="5:5" x14ac:dyDescent="0.3">
      <c r="E2574" s="2"/>
    </row>
    <row r="2575" spans="5:5" x14ac:dyDescent="0.3">
      <c r="E2575" s="2"/>
    </row>
    <row r="2576" spans="5:5" x14ac:dyDescent="0.3">
      <c r="E2576" s="2"/>
    </row>
    <row r="2577" spans="5:5" x14ac:dyDescent="0.3">
      <c r="E2577" s="2"/>
    </row>
    <row r="2578" spans="5:5" x14ac:dyDescent="0.3">
      <c r="E2578" s="2"/>
    </row>
    <row r="2579" spans="5:5" x14ac:dyDescent="0.3">
      <c r="E2579" s="2"/>
    </row>
    <row r="2580" spans="5:5" x14ac:dyDescent="0.3">
      <c r="E2580" s="2"/>
    </row>
    <row r="2581" spans="5:5" x14ac:dyDescent="0.3">
      <c r="E2581" s="2"/>
    </row>
    <row r="2582" spans="5:5" x14ac:dyDescent="0.3">
      <c r="E2582" s="2"/>
    </row>
    <row r="2583" spans="5:5" x14ac:dyDescent="0.3">
      <c r="E2583" s="2"/>
    </row>
    <row r="2584" spans="5:5" x14ac:dyDescent="0.3">
      <c r="E2584" s="2"/>
    </row>
    <row r="2585" spans="5:5" x14ac:dyDescent="0.3">
      <c r="E2585" s="2"/>
    </row>
    <row r="2586" spans="5:5" x14ac:dyDescent="0.3">
      <c r="E2586" s="2"/>
    </row>
    <row r="2587" spans="5:5" x14ac:dyDescent="0.3">
      <c r="E2587" s="2"/>
    </row>
    <row r="2588" spans="5:5" x14ac:dyDescent="0.3">
      <c r="E2588" s="2"/>
    </row>
    <row r="2589" spans="5:5" x14ac:dyDescent="0.3">
      <c r="E2589" s="2"/>
    </row>
    <row r="2590" spans="5:5" x14ac:dyDescent="0.3">
      <c r="E2590" s="2"/>
    </row>
    <row r="2591" spans="5:5" x14ac:dyDescent="0.3">
      <c r="E2591" s="2"/>
    </row>
    <row r="2592" spans="5:5" x14ac:dyDescent="0.3">
      <c r="E2592" s="2"/>
    </row>
    <row r="2593" spans="5:5" x14ac:dyDescent="0.3">
      <c r="E2593" s="2"/>
    </row>
    <row r="2594" spans="5:5" x14ac:dyDescent="0.3">
      <c r="E2594" s="2"/>
    </row>
    <row r="2595" spans="5:5" x14ac:dyDescent="0.3">
      <c r="E2595" s="2"/>
    </row>
    <row r="2596" spans="5:5" x14ac:dyDescent="0.3">
      <c r="E2596" s="2"/>
    </row>
    <row r="2597" spans="5:5" x14ac:dyDescent="0.3">
      <c r="E2597" s="2"/>
    </row>
    <row r="2598" spans="5:5" x14ac:dyDescent="0.3">
      <c r="E2598" s="2"/>
    </row>
    <row r="2599" spans="5:5" x14ac:dyDescent="0.3">
      <c r="E2599" s="2"/>
    </row>
    <row r="2600" spans="5:5" x14ac:dyDescent="0.3">
      <c r="E2600" s="2"/>
    </row>
    <row r="2601" spans="5:5" x14ac:dyDescent="0.3">
      <c r="E2601" s="2"/>
    </row>
    <row r="2602" spans="5:5" x14ac:dyDescent="0.3">
      <c r="E2602" s="2"/>
    </row>
    <row r="2603" spans="5:5" x14ac:dyDescent="0.3">
      <c r="E2603" s="2"/>
    </row>
    <row r="2604" spans="5:5" x14ac:dyDescent="0.3">
      <c r="E2604" s="2"/>
    </row>
    <row r="2605" spans="5:5" x14ac:dyDescent="0.3">
      <c r="E2605" s="2"/>
    </row>
    <row r="2606" spans="5:5" x14ac:dyDescent="0.3">
      <c r="E2606" s="2"/>
    </row>
    <row r="2607" spans="5:5" x14ac:dyDescent="0.3">
      <c r="E2607" s="2"/>
    </row>
    <row r="2608" spans="5:5" x14ac:dyDescent="0.3">
      <c r="E2608" s="2"/>
    </row>
    <row r="2609" spans="5:5" x14ac:dyDescent="0.3">
      <c r="E2609" s="2"/>
    </row>
    <row r="2610" spans="5:5" x14ac:dyDescent="0.3">
      <c r="E2610" s="2"/>
    </row>
    <row r="2611" spans="5:5" x14ac:dyDescent="0.3">
      <c r="E2611" s="2"/>
    </row>
    <row r="2612" spans="5:5" x14ac:dyDescent="0.3">
      <c r="E2612" s="2"/>
    </row>
    <row r="2613" spans="5:5" x14ac:dyDescent="0.3">
      <c r="E2613" s="2"/>
    </row>
    <row r="2614" spans="5:5" x14ac:dyDescent="0.3">
      <c r="E2614" s="2"/>
    </row>
    <row r="2615" spans="5:5" x14ac:dyDescent="0.3">
      <c r="E2615" s="2"/>
    </row>
    <row r="2616" spans="5:5" x14ac:dyDescent="0.3">
      <c r="E2616" s="2"/>
    </row>
    <row r="2617" spans="5:5" x14ac:dyDescent="0.3">
      <c r="E2617" s="2"/>
    </row>
    <row r="2618" spans="5:5" x14ac:dyDescent="0.3">
      <c r="E2618" s="2"/>
    </row>
    <row r="2619" spans="5:5" x14ac:dyDescent="0.3">
      <c r="E2619" s="2"/>
    </row>
    <row r="2620" spans="5:5" x14ac:dyDescent="0.3">
      <c r="E2620" s="2"/>
    </row>
    <row r="2621" spans="5:5" x14ac:dyDescent="0.3">
      <c r="E2621" s="2"/>
    </row>
    <row r="2622" spans="5:5" x14ac:dyDescent="0.3">
      <c r="E2622" s="2"/>
    </row>
    <row r="2623" spans="5:5" x14ac:dyDescent="0.3">
      <c r="E2623" s="2"/>
    </row>
    <row r="2624" spans="5:5" x14ac:dyDescent="0.3">
      <c r="E2624" s="2"/>
    </row>
    <row r="2625" spans="5:5" x14ac:dyDescent="0.3">
      <c r="E2625" s="2"/>
    </row>
    <row r="2626" spans="5:5" x14ac:dyDescent="0.3">
      <c r="E2626" s="2"/>
    </row>
    <row r="2627" spans="5:5" x14ac:dyDescent="0.3">
      <c r="E2627" s="2"/>
    </row>
    <row r="2628" spans="5:5" x14ac:dyDescent="0.3">
      <c r="E2628" s="2"/>
    </row>
    <row r="2629" spans="5:5" x14ac:dyDescent="0.3">
      <c r="E2629" s="2"/>
    </row>
    <row r="2630" spans="5:5" x14ac:dyDescent="0.3">
      <c r="E2630" s="2"/>
    </row>
    <row r="2631" spans="5:5" x14ac:dyDescent="0.3">
      <c r="E2631" s="2"/>
    </row>
    <row r="2632" spans="5:5" x14ac:dyDescent="0.3">
      <c r="E2632" s="2"/>
    </row>
    <row r="2633" spans="5:5" x14ac:dyDescent="0.3">
      <c r="E2633" s="2"/>
    </row>
    <row r="2634" spans="5:5" x14ac:dyDescent="0.3">
      <c r="E2634" s="2"/>
    </row>
    <row r="2635" spans="5:5" x14ac:dyDescent="0.3">
      <c r="E2635" s="2"/>
    </row>
    <row r="2636" spans="5:5" x14ac:dyDescent="0.3">
      <c r="E2636" s="2"/>
    </row>
    <row r="2637" spans="5:5" x14ac:dyDescent="0.3">
      <c r="E2637" s="2"/>
    </row>
    <row r="2638" spans="5:5" x14ac:dyDescent="0.3">
      <c r="E2638" s="2"/>
    </row>
    <row r="2639" spans="5:5" x14ac:dyDescent="0.3">
      <c r="E2639" s="2"/>
    </row>
    <row r="2640" spans="5:5" x14ac:dyDescent="0.3">
      <c r="E2640" s="2"/>
    </row>
    <row r="2641" spans="5:5" x14ac:dyDescent="0.3">
      <c r="E2641" s="2"/>
    </row>
    <row r="2642" spans="5:5" x14ac:dyDescent="0.3">
      <c r="E2642" s="2"/>
    </row>
    <row r="2643" spans="5:5" x14ac:dyDescent="0.3">
      <c r="E2643" s="2"/>
    </row>
    <row r="2644" spans="5:5" x14ac:dyDescent="0.3">
      <c r="E2644" s="2"/>
    </row>
    <row r="2645" spans="5:5" x14ac:dyDescent="0.3">
      <c r="E2645" s="2"/>
    </row>
    <row r="2646" spans="5:5" x14ac:dyDescent="0.3">
      <c r="E2646" s="2"/>
    </row>
    <row r="2647" spans="5:5" x14ac:dyDescent="0.3">
      <c r="E2647" s="2"/>
    </row>
    <row r="2648" spans="5:5" x14ac:dyDescent="0.3">
      <c r="E2648" s="2"/>
    </row>
    <row r="2649" spans="5:5" x14ac:dyDescent="0.3">
      <c r="E2649" s="2"/>
    </row>
    <row r="2650" spans="5:5" x14ac:dyDescent="0.3">
      <c r="E2650" s="2"/>
    </row>
    <row r="2651" spans="5:5" x14ac:dyDescent="0.3">
      <c r="E2651" s="2"/>
    </row>
    <row r="2652" spans="5:5" x14ac:dyDescent="0.3">
      <c r="E2652" s="2"/>
    </row>
    <row r="2653" spans="5:5" x14ac:dyDescent="0.3">
      <c r="E2653" s="2"/>
    </row>
    <row r="2654" spans="5:5" x14ac:dyDescent="0.3">
      <c r="E2654" s="2"/>
    </row>
    <row r="2655" spans="5:5" x14ac:dyDescent="0.3">
      <c r="E2655" s="2"/>
    </row>
    <row r="2656" spans="5:5" x14ac:dyDescent="0.3">
      <c r="E2656" s="2"/>
    </row>
    <row r="2657" spans="5:5" x14ac:dyDescent="0.3">
      <c r="E2657" s="2"/>
    </row>
    <row r="2658" spans="5:5" x14ac:dyDescent="0.3">
      <c r="E2658" s="2"/>
    </row>
    <row r="2659" spans="5:5" x14ac:dyDescent="0.3">
      <c r="E2659" s="2"/>
    </row>
    <row r="2660" spans="5:5" x14ac:dyDescent="0.3">
      <c r="E2660" s="2"/>
    </row>
    <row r="2661" spans="5:5" x14ac:dyDescent="0.3">
      <c r="E2661" s="2"/>
    </row>
    <row r="2662" spans="5:5" x14ac:dyDescent="0.3">
      <c r="E2662" s="2"/>
    </row>
    <row r="2663" spans="5:5" x14ac:dyDescent="0.3">
      <c r="E2663" s="2"/>
    </row>
    <row r="2664" spans="5:5" x14ac:dyDescent="0.3">
      <c r="E2664" s="2"/>
    </row>
    <row r="2665" spans="5:5" x14ac:dyDescent="0.3">
      <c r="E2665" s="2"/>
    </row>
    <row r="2666" spans="5:5" x14ac:dyDescent="0.3">
      <c r="E2666" s="2"/>
    </row>
    <row r="2667" spans="5:5" x14ac:dyDescent="0.3">
      <c r="E2667" s="2"/>
    </row>
    <row r="2668" spans="5:5" x14ac:dyDescent="0.3">
      <c r="E2668" s="2"/>
    </row>
    <row r="2669" spans="5:5" x14ac:dyDescent="0.3">
      <c r="E2669" s="2"/>
    </row>
    <row r="2670" spans="5:5" x14ac:dyDescent="0.3">
      <c r="E2670" s="2"/>
    </row>
    <row r="2671" spans="5:5" x14ac:dyDescent="0.3">
      <c r="E2671" s="2"/>
    </row>
    <row r="2672" spans="5:5" x14ac:dyDescent="0.3">
      <c r="E2672" s="2"/>
    </row>
    <row r="2673" spans="5:5" x14ac:dyDescent="0.3">
      <c r="E2673" s="2"/>
    </row>
    <row r="2674" spans="5:5" x14ac:dyDescent="0.3">
      <c r="E2674" s="2"/>
    </row>
    <row r="2675" spans="5:5" x14ac:dyDescent="0.3">
      <c r="E2675" s="2"/>
    </row>
    <row r="2676" spans="5:5" x14ac:dyDescent="0.3">
      <c r="E2676" s="2"/>
    </row>
    <row r="2677" spans="5:5" x14ac:dyDescent="0.3">
      <c r="E2677" s="2"/>
    </row>
    <row r="2678" spans="5:5" x14ac:dyDescent="0.3">
      <c r="E2678" s="2"/>
    </row>
    <row r="2679" spans="5:5" x14ac:dyDescent="0.3">
      <c r="E2679" s="2"/>
    </row>
    <row r="2680" spans="5:5" x14ac:dyDescent="0.3">
      <c r="E2680" s="2"/>
    </row>
    <row r="2681" spans="5:5" x14ac:dyDescent="0.3">
      <c r="E2681" s="2"/>
    </row>
    <row r="2682" spans="5:5" x14ac:dyDescent="0.3">
      <c r="E2682" s="2"/>
    </row>
    <row r="2683" spans="5:5" x14ac:dyDescent="0.3">
      <c r="E2683" s="2"/>
    </row>
    <row r="2684" spans="5:5" x14ac:dyDescent="0.3">
      <c r="E2684" s="2"/>
    </row>
    <row r="2685" spans="5:5" x14ac:dyDescent="0.3">
      <c r="E2685" s="2"/>
    </row>
    <row r="2686" spans="5:5" x14ac:dyDescent="0.3">
      <c r="E2686" s="2"/>
    </row>
    <row r="2687" spans="5:5" x14ac:dyDescent="0.3">
      <c r="E2687" s="2"/>
    </row>
    <row r="2688" spans="5:5" x14ac:dyDescent="0.3">
      <c r="E2688" s="2"/>
    </row>
    <row r="2689" spans="5:5" x14ac:dyDescent="0.3">
      <c r="E2689" s="2"/>
    </row>
    <row r="2690" spans="5:5" x14ac:dyDescent="0.3">
      <c r="E2690" s="2"/>
    </row>
    <row r="2691" spans="5:5" x14ac:dyDescent="0.3">
      <c r="E2691" s="2"/>
    </row>
    <row r="2692" spans="5:5" x14ac:dyDescent="0.3">
      <c r="E2692" s="2"/>
    </row>
    <row r="2693" spans="5:5" x14ac:dyDescent="0.3">
      <c r="E2693" s="2"/>
    </row>
    <row r="2694" spans="5:5" x14ac:dyDescent="0.3">
      <c r="E2694" s="2"/>
    </row>
    <row r="2695" spans="5:5" x14ac:dyDescent="0.3">
      <c r="E2695" s="2"/>
    </row>
    <row r="2696" spans="5:5" x14ac:dyDescent="0.3">
      <c r="E2696" s="2"/>
    </row>
    <row r="2697" spans="5:5" x14ac:dyDescent="0.3">
      <c r="E2697" s="2"/>
    </row>
    <row r="2698" spans="5:5" x14ac:dyDescent="0.3">
      <c r="E2698" s="2"/>
    </row>
    <row r="2699" spans="5:5" x14ac:dyDescent="0.3">
      <c r="E2699" s="2"/>
    </row>
    <row r="2700" spans="5:5" x14ac:dyDescent="0.3">
      <c r="E2700" s="2"/>
    </row>
    <row r="2701" spans="5:5" x14ac:dyDescent="0.3">
      <c r="E2701" s="2"/>
    </row>
    <row r="2702" spans="5:5" x14ac:dyDescent="0.3">
      <c r="E2702" s="2"/>
    </row>
    <row r="2703" spans="5:5" x14ac:dyDescent="0.3">
      <c r="E2703" s="2"/>
    </row>
    <row r="2704" spans="5:5" x14ac:dyDescent="0.3">
      <c r="E2704" s="2"/>
    </row>
    <row r="2705" spans="5:5" x14ac:dyDescent="0.3">
      <c r="E2705" s="2"/>
    </row>
    <row r="2706" spans="5:5" x14ac:dyDescent="0.3">
      <c r="E2706" s="2"/>
    </row>
    <row r="2707" spans="5:5" x14ac:dyDescent="0.3">
      <c r="E2707" s="2"/>
    </row>
    <row r="2708" spans="5:5" x14ac:dyDescent="0.3">
      <c r="E2708" s="2"/>
    </row>
    <row r="2709" spans="5:5" x14ac:dyDescent="0.3">
      <c r="E2709" s="2"/>
    </row>
    <row r="2710" spans="5:5" x14ac:dyDescent="0.3">
      <c r="E2710" s="2"/>
    </row>
    <row r="2711" spans="5:5" x14ac:dyDescent="0.3">
      <c r="E2711" s="2"/>
    </row>
    <row r="2712" spans="5:5" x14ac:dyDescent="0.3">
      <c r="E2712" s="2"/>
    </row>
    <row r="2713" spans="5:5" x14ac:dyDescent="0.3">
      <c r="E2713" s="2"/>
    </row>
    <row r="2714" spans="5:5" x14ac:dyDescent="0.3">
      <c r="E2714" s="2"/>
    </row>
    <row r="2715" spans="5:5" x14ac:dyDescent="0.3">
      <c r="E2715" s="2"/>
    </row>
    <row r="2716" spans="5:5" x14ac:dyDescent="0.3">
      <c r="E2716" s="2"/>
    </row>
    <row r="2717" spans="5:5" x14ac:dyDescent="0.3">
      <c r="E2717" s="2"/>
    </row>
    <row r="2718" spans="5:5" x14ac:dyDescent="0.3">
      <c r="E2718" s="2"/>
    </row>
    <row r="2719" spans="5:5" x14ac:dyDescent="0.3">
      <c r="E2719" s="2"/>
    </row>
    <row r="2720" spans="5:5" x14ac:dyDescent="0.3">
      <c r="E2720" s="2"/>
    </row>
    <row r="2721" spans="5:5" x14ac:dyDescent="0.3">
      <c r="E2721" s="2"/>
    </row>
    <row r="2722" spans="5:5" x14ac:dyDescent="0.3">
      <c r="E2722" s="2"/>
    </row>
    <row r="2723" spans="5:5" x14ac:dyDescent="0.3">
      <c r="E2723" s="2"/>
    </row>
    <row r="2724" spans="5:5" x14ac:dyDescent="0.3">
      <c r="E2724" s="2"/>
    </row>
    <row r="2725" spans="5:5" x14ac:dyDescent="0.3">
      <c r="E2725" s="2"/>
    </row>
    <row r="2726" spans="5:5" x14ac:dyDescent="0.3">
      <c r="E2726" s="2"/>
    </row>
    <row r="2727" spans="5:5" x14ac:dyDescent="0.3">
      <c r="E2727" s="2"/>
    </row>
    <row r="2728" spans="5:5" x14ac:dyDescent="0.3">
      <c r="E2728" s="2"/>
    </row>
    <row r="2729" spans="5:5" x14ac:dyDescent="0.3">
      <c r="E2729" s="2"/>
    </row>
    <row r="2730" spans="5:5" x14ac:dyDescent="0.3">
      <c r="E2730" s="2"/>
    </row>
    <row r="2731" spans="5:5" x14ac:dyDescent="0.3">
      <c r="E2731" s="2"/>
    </row>
    <row r="2732" spans="5:5" x14ac:dyDescent="0.3">
      <c r="E2732" s="2"/>
    </row>
    <row r="2733" spans="5:5" x14ac:dyDescent="0.3">
      <c r="E2733" s="2"/>
    </row>
    <row r="2734" spans="5:5" x14ac:dyDescent="0.3">
      <c r="E2734" s="2"/>
    </row>
    <row r="2735" spans="5:5" x14ac:dyDescent="0.3">
      <c r="E2735" s="2"/>
    </row>
    <row r="2736" spans="5:5" x14ac:dyDescent="0.3">
      <c r="E2736" s="2"/>
    </row>
    <row r="2737" spans="5:5" x14ac:dyDescent="0.3">
      <c r="E2737" s="2"/>
    </row>
    <row r="2738" spans="5:5" x14ac:dyDescent="0.3">
      <c r="E2738" s="2"/>
    </row>
    <row r="2739" spans="5:5" x14ac:dyDescent="0.3">
      <c r="E2739" s="2"/>
    </row>
    <row r="2740" spans="5:5" x14ac:dyDescent="0.3">
      <c r="E2740" s="2"/>
    </row>
    <row r="2741" spans="5:5" x14ac:dyDescent="0.3">
      <c r="E2741" s="2"/>
    </row>
    <row r="2742" spans="5:5" x14ac:dyDescent="0.3">
      <c r="E2742" s="2"/>
    </row>
    <row r="2743" spans="5:5" x14ac:dyDescent="0.3">
      <c r="E2743" s="2"/>
    </row>
    <row r="2744" spans="5:5" x14ac:dyDescent="0.3">
      <c r="E2744" s="2"/>
    </row>
    <row r="2745" spans="5:5" x14ac:dyDescent="0.3">
      <c r="E2745" s="2"/>
    </row>
    <row r="2746" spans="5:5" x14ac:dyDescent="0.3">
      <c r="E2746" s="2"/>
    </row>
    <row r="2747" spans="5:5" x14ac:dyDescent="0.3">
      <c r="E2747" s="2"/>
    </row>
    <row r="2748" spans="5:5" x14ac:dyDescent="0.3">
      <c r="E2748" s="2"/>
    </row>
    <row r="2749" spans="5:5" x14ac:dyDescent="0.3">
      <c r="E2749" s="2"/>
    </row>
    <row r="2750" spans="5:5" x14ac:dyDescent="0.3">
      <c r="E2750" s="2"/>
    </row>
    <row r="2751" spans="5:5" x14ac:dyDescent="0.3">
      <c r="E2751" s="2"/>
    </row>
    <row r="2752" spans="5:5" x14ac:dyDescent="0.3">
      <c r="E2752" s="2"/>
    </row>
    <row r="2753" spans="5:5" x14ac:dyDescent="0.3">
      <c r="E2753" s="2"/>
    </row>
    <row r="2754" spans="5:5" x14ac:dyDescent="0.3">
      <c r="E2754" s="2"/>
    </row>
    <row r="2755" spans="5:5" x14ac:dyDescent="0.3">
      <c r="E2755" s="2"/>
    </row>
    <row r="2756" spans="5:5" x14ac:dyDescent="0.3">
      <c r="E2756" s="2"/>
    </row>
    <row r="2757" spans="5:5" x14ac:dyDescent="0.3">
      <c r="E2757" s="2"/>
    </row>
    <row r="2758" spans="5:5" x14ac:dyDescent="0.3">
      <c r="E2758" s="2"/>
    </row>
    <row r="2759" spans="5:5" x14ac:dyDescent="0.3">
      <c r="E2759" s="2"/>
    </row>
    <row r="2760" spans="5:5" x14ac:dyDescent="0.3">
      <c r="E2760" s="2"/>
    </row>
    <row r="2761" spans="5:5" x14ac:dyDescent="0.3">
      <c r="E2761" s="2"/>
    </row>
    <row r="2762" spans="5:5" x14ac:dyDescent="0.3">
      <c r="E2762" s="2"/>
    </row>
    <row r="2763" spans="5:5" x14ac:dyDescent="0.3">
      <c r="E2763" s="2"/>
    </row>
    <row r="2764" spans="5:5" x14ac:dyDescent="0.3">
      <c r="E2764" s="2"/>
    </row>
    <row r="2765" spans="5:5" x14ac:dyDescent="0.3">
      <c r="E2765" s="2"/>
    </row>
    <row r="2766" spans="5:5" x14ac:dyDescent="0.3">
      <c r="E2766" s="2"/>
    </row>
    <row r="2767" spans="5:5" x14ac:dyDescent="0.3">
      <c r="E2767" s="2"/>
    </row>
    <row r="2768" spans="5:5" x14ac:dyDescent="0.3">
      <c r="E2768" s="2"/>
    </row>
    <row r="2769" spans="5:5" x14ac:dyDescent="0.3">
      <c r="E2769" s="2"/>
    </row>
    <row r="2770" spans="5:5" x14ac:dyDescent="0.3">
      <c r="E2770" s="2"/>
    </row>
    <row r="2771" spans="5:5" x14ac:dyDescent="0.3">
      <c r="E2771" s="2"/>
    </row>
    <row r="2772" spans="5:5" x14ac:dyDescent="0.3">
      <c r="E2772" s="2"/>
    </row>
    <row r="2773" spans="5:5" x14ac:dyDescent="0.3">
      <c r="E2773" s="2"/>
    </row>
    <row r="2774" spans="5:5" x14ac:dyDescent="0.3">
      <c r="E2774" s="2"/>
    </row>
    <row r="2775" spans="5:5" x14ac:dyDescent="0.3">
      <c r="E2775" s="2"/>
    </row>
    <row r="2776" spans="5:5" x14ac:dyDescent="0.3">
      <c r="E2776" s="2"/>
    </row>
    <row r="2777" spans="5:5" x14ac:dyDescent="0.3">
      <c r="E2777" s="2"/>
    </row>
    <row r="2778" spans="5:5" x14ac:dyDescent="0.3">
      <c r="E2778" s="2"/>
    </row>
    <row r="2779" spans="5:5" x14ac:dyDescent="0.3">
      <c r="E2779" s="2"/>
    </row>
    <row r="2780" spans="5:5" x14ac:dyDescent="0.3">
      <c r="E2780" s="2"/>
    </row>
    <row r="2781" spans="5:5" x14ac:dyDescent="0.3">
      <c r="E2781" s="2"/>
    </row>
    <row r="2782" spans="5:5" x14ac:dyDescent="0.3">
      <c r="E2782" s="2"/>
    </row>
    <row r="2783" spans="5:5" x14ac:dyDescent="0.3">
      <c r="E2783" s="2"/>
    </row>
    <row r="2784" spans="5:5" x14ac:dyDescent="0.3">
      <c r="E2784" s="2"/>
    </row>
    <row r="2785" spans="5:5" x14ac:dyDescent="0.3">
      <c r="E2785" s="2"/>
    </row>
    <row r="2786" spans="5:5" x14ac:dyDescent="0.3">
      <c r="E2786" s="2"/>
    </row>
    <row r="2787" spans="5:5" x14ac:dyDescent="0.3">
      <c r="E2787" s="2"/>
    </row>
    <row r="2788" spans="5:5" x14ac:dyDescent="0.3">
      <c r="E2788" s="2"/>
    </row>
    <row r="2789" spans="5:5" x14ac:dyDescent="0.3">
      <c r="E2789" s="2"/>
    </row>
    <row r="2790" spans="5:5" x14ac:dyDescent="0.3">
      <c r="E2790" s="2"/>
    </row>
    <row r="2791" spans="5:5" x14ac:dyDescent="0.3">
      <c r="E2791" s="2"/>
    </row>
    <row r="2792" spans="5:5" x14ac:dyDescent="0.3">
      <c r="E2792" s="2"/>
    </row>
    <row r="2793" spans="5:5" x14ac:dyDescent="0.3">
      <c r="E2793" s="2"/>
    </row>
    <row r="2794" spans="5:5" x14ac:dyDescent="0.3">
      <c r="E2794" s="2"/>
    </row>
    <row r="2795" spans="5:5" x14ac:dyDescent="0.3">
      <c r="E2795" s="2"/>
    </row>
    <row r="2796" spans="5:5" x14ac:dyDescent="0.3">
      <c r="E2796" s="2"/>
    </row>
    <row r="2797" spans="5:5" x14ac:dyDescent="0.3">
      <c r="E2797" s="2"/>
    </row>
    <row r="2798" spans="5:5" x14ac:dyDescent="0.3">
      <c r="E2798" s="2"/>
    </row>
    <row r="2799" spans="5:5" x14ac:dyDescent="0.3">
      <c r="E2799" s="2"/>
    </row>
    <row r="2800" spans="5:5" x14ac:dyDescent="0.3">
      <c r="E2800" s="2"/>
    </row>
    <row r="2801" spans="5:5" x14ac:dyDescent="0.3">
      <c r="E2801" s="2"/>
    </row>
    <row r="2802" spans="5:5" x14ac:dyDescent="0.3">
      <c r="E2802" s="2"/>
    </row>
    <row r="2803" spans="5:5" x14ac:dyDescent="0.3">
      <c r="E2803" s="2"/>
    </row>
    <row r="2804" spans="5:5" x14ac:dyDescent="0.3">
      <c r="E2804" s="2"/>
    </row>
    <row r="2805" spans="5:5" x14ac:dyDescent="0.3">
      <c r="E2805" s="2"/>
    </row>
    <row r="2806" spans="5:5" x14ac:dyDescent="0.3">
      <c r="E2806" s="2"/>
    </row>
    <row r="2807" spans="5:5" x14ac:dyDescent="0.3">
      <c r="E2807" s="2"/>
    </row>
    <row r="2808" spans="5:5" x14ac:dyDescent="0.3">
      <c r="E2808" s="2"/>
    </row>
    <row r="2809" spans="5:5" x14ac:dyDescent="0.3">
      <c r="E2809" s="2"/>
    </row>
    <row r="2810" spans="5:5" x14ac:dyDescent="0.3">
      <c r="E2810" s="2"/>
    </row>
    <row r="2811" spans="5:5" x14ac:dyDescent="0.3">
      <c r="E2811" s="2"/>
    </row>
    <row r="2812" spans="5:5" x14ac:dyDescent="0.3">
      <c r="E2812" s="2"/>
    </row>
    <row r="2813" spans="5:5" x14ac:dyDescent="0.3">
      <c r="E2813" s="2"/>
    </row>
    <row r="2814" spans="5:5" x14ac:dyDescent="0.3">
      <c r="E2814" s="2"/>
    </row>
    <row r="2815" spans="5:5" x14ac:dyDescent="0.3">
      <c r="E2815" s="2"/>
    </row>
    <row r="2816" spans="5:5" x14ac:dyDescent="0.3">
      <c r="E2816" s="2"/>
    </row>
    <row r="2817" spans="5:5" x14ac:dyDescent="0.3">
      <c r="E2817" s="2"/>
    </row>
    <row r="2818" spans="5:5" x14ac:dyDescent="0.3">
      <c r="E2818" s="2"/>
    </row>
    <row r="2819" spans="5:5" x14ac:dyDescent="0.3">
      <c r="E2819" s="2"/>
    </row>
    <row r="2820" spans="5:5" x14ac:dyDescent="0.3">
      <c r="E2820" s="2"/>
    </row>
    <row r="2821" spans="5:5" x14ac:dyDescent="0.3">
      <c r="E2821" s="2"/>
    </row>
    <row r="2822" spans="5:5" x14ac:dyDescent="0.3">
      <c r="E2822" s="2"/>
    </row>
    <row r="2823" spans="5:5" x14ac:dyDescent="0.3">
      <c r="E2823" s="2"/>
    </row>
    <row r="2824" spans="5:5" x14ac:dyDescent="0.3">
      <c r="E2824" s="2"/>
    </row>
    <row r="2825" spans="5:5" x14ac:dyDescent="0.3">
      <c r="E2825" s="2"/>
    </row>
    <row r="2826" spans="5:5" x14ac:dyDescent="0.3">
      <c r="E2826" s="2"/>
    </row>
    <row r="2827" spans="5:5" x14ac:dyDescent="0.3">
      <c r="E2827" s="2"/>
    </row>
    <row r="2828" spans="5:5" x14ac:dyDescent="0.3">
      <c r="E2828" s="2"/>
    </row>
    <row r="2829" spans="5:5" x14ac:dyDescent="0.3">
      <c r="E2829" s="2"/>
    </row>
    <row r="2830" spans="5:5" x14ac:dyDescent="0.3">
      <c r="E2830" s="2"/>
    </row>
    <row r="2831" spans="5:5" x14ac:dyDescent="0.3">
      <c r="E2831" s="2"/>
    </row>
    <row r="2832" spans="5:5" x14ac:dyDescent="0.3">
      <c r="E2832" s="2"/>
    </row>
    <row r="2833" spans="5:5" x14ac:dyDescent="0.3">
      <c r="E2833" s="2"/>
    </row>
    <row r="2834" spans="5:5" x14ac:dyDescent="0.3">
      <c r="E2834" s="2"/>
    </row>
    <row r="2835" spans="5:5" x14ac:dyDescent="0.3">
      <c r="E2835" s="2"/>
    </row>
    <row r="2836" spans="5:5" x14ac:dyDescent="0.3">
      <c r="E2836" s="2"/>
    </row>
    <row r="2837" spans="5:5" x14ac:dyDescent="0.3">
      <c r="E2837" s="2"/>
    </row>
    <row r="2838" spans="5:5" x14ac:dyDescent="0.3">
      <c r="E2838" s="2"/>
    </row>
    <row r="2839" spans="5:5" x14ac:dyDescent="0.3">
      <c r="E2839" s="2"/>
    </row>
    <row r="2840" spans="5:5" x14ac:dyDescent="0.3">
      <c r="E2840" s="2"/>
    </row>
    <row r="2841" spans="5:5" x14ac:dyDescent="0.3">
      <c r="E2841" s="2"/>
    </row>
    <row r="2842" spans="5:5" x14ac:dyDescent="0.3">
      <c r="E2842" s="2"/>
    </row>
    <row r="2843" spans="5:5" x14ac:dyDescent="0.3">
      <c r="E2843" s="2"/>
    </row>
    <row r="2844" spans="5:5" x14ac:dyDescent="0.3">
      <c r="E2844" s="2"/>
    </row>
    <row r="2845" spans="5:5" x14ac:dyDescent="0.3">
      <c r="E2845" s="2"/>
    </row>
    <row r="2846" spans="5:5" x14ac:dyDescent="0.3">
      <c r="E2846" s="2"/>
    </row>
    <row r="2847" spans="5:5" x14ac:dyDescent="0.3">
      <c r="E2847" s="2"/>
    </row>
    <row r="2848" spans="5:5" x14ac:dyDescent="0.3">
      <c r="E2848" s="2"/>
    </row>
    <row r="2849" spans="5:5" x14ac:dyDescent="0.3">
      <c r="E2849" s="2"/>
    </row>
    <row r="2850" spans="5:5" x14ac:dyDescent="0.3">
      <c r="E2850" s="2"/>
    </row>
    <row r="2851" spans="5:5" x14ac:dyDescent="0.3">
      <c r="E2851" s="2"/>
    </row>
    <row r="2852" spans="5:5" x14ac:dyDescent="0.3">
      <c r="E2852" s="2"/>
    </row>
    <row r="2853" spans="5:5" x14ac:dyDescent="0.3">
      <c r="E2853" s="2"/>
    </row>
    <row r="2854" spans="5:5" x14ac:dyDescent="0.3">
      <c r="E2854" s="2"/>
    </row>
    <row r="2855" spans="5:5" x14ac:dyDescent="0.3">
      <c r="E2855" s="2"/>
    </row>
    <row r="2856" spans="5:5" x14ac:dyDescent="0.3">
      <c r="E2856" s="2"/>
    </row>
    <row r="2857" spans="5:5" x14ac:dyDescent="0.3">
      <c r="E2857" s="2"/>
    </row>
    <row r="2858" spans="5:5" x14ac:dyDescent="0.3">
      <c r="E2858" s="2"/>
    </row>
    <row r="2859" spans="5:5" x14ac:dyDescent="0.3">
      <c r="E2859" s="2"/>
    </row>
    <row r="2860" spans="5:5" x14ac:dyDescent="0.3">
      <c r="E2860" s="2"/>
    </row>
    <row r="2861" spans="5:5" x14ac:dyDescent="0.3">
      <c r="E2861" s="2"/>
    </row>
    <row r="2862" spans="5:5" x14ac:dyDescent="0.3">
      <c r="E2862" s="2"/>
    </row>
    <row r="2863" spans="5:5" x14ac:dyDescent="0.3">
      <c r="E2863" s="2"/>
    </row>
    <row r="2864" spans="5:5" x14ac:dyDescent="0.3">
      <c r="E2864" s="2"/>
    </row>
    <row r="2865" spans="5:5" x14ac:dyDescent="0.3">
      <c r="E2865" s="2"/>
    </row>
    <row r="2866" spans="5:5" x14ac:dyDescent="0.3">
      <c r="E2866" s="2"/>
    </row>
    <row r="2867" spans="5:5" x14ac:dyDescent="0.3">
      <c r="E2867" s="2"/>
    </row>
    <row r="2868" spans="5:5" x14ac:dyDescent="0.3">
      <c r="E2868" s="2"/>
    </row>
    <row r="2869" spans="5:5" x14ac:dyDescent="0.3">
      <c r="E2869" s="2"/>
    </row>
    <row r="2870" spans="5:5" x14ac:dyDescent="0.3">
      <c r="E2870" s="2"/>
    </row>
    <row r="2871" spans="5:5" x14ac:dyDescent="0.3">
      <c r="E2871" s="2"/>
    </row>
    <row r="2872" spans="5:5" x14ac:dyDescent="0.3">
      <c r="E2872" s="2"/>
    </row>
    <row r="2873" spans="5:5" x14ac:dyDescent="0.3">
      <c r="E2873" s="2"/>
    </row>
    <row r="2874" spans="5:5" x14ac:dyDescent="0.3">
      <c r="E2874" s="2"/>
    </row>
    <row r="2875" spans="5:5" x14ac:dyDescent="0.3">
      <c r="E2875" s="2"/>
    </row>
    <row r="2876" spans="5:5" x14ac:dyDescent="0.3">
      <c r="E2876" s="2"/>
    </row>
    <row r="2877" spans="5:5" x14ac:dyDescent="0.3">
      <c r="E2877" s="2"/>
    </row>
    <row r="2878" spans="5:5" x14ac:dyDescent="0.3">
      <c r="E2878" s="2"/>
    </row>
    <row r="2879" spans="5:5" x14ac:dyDescent="0.3">
      <c r="E2879" s="2"/>
    </row>
    <row r="2880" spans="5:5" x14ac:dyDescent="0.3">
      <c r="E2880" s="2"/>
    </row>
    <row r="2881" spans="5:5" x14ac:dyDescent="0.3">
      <c r="E2881" s="2"/>
    </row>
    <row r="2882" spans="5:5" x14ac:dyDescent="0.3">
      <c r="E2882" s="2"/>
    </row>
    <row r="2883" spans="5:5" x14ac:dyDescent="0.3">
      <c r="E2883" s="2"/>
    </row>
    <row r="2884" spans="5:5" x14ac:dyDescent="0.3">
      <c r="E2884" s="2"/>
    </row>
    <row r="2885" spans="5:5" x14ac:dyDescent="0.3">
      <c r="E2885" s="2"/>
    </row>
    <row r="2886" spans="5:5" x14ac:dyDescent="0.3">
      <c r="E2886" s="2"/>
    </row>
    <row r="2887" spans="5:5" x14ac:dyDescent="0.3">
      <c r="E2887" s="2"/>
    </row>
    <row r="2888" spans="5:5" x14ac:dyDescent="0.3">
      <c r="E2888" s="2"/>
    </row>
    <row r="2889" spans="5:5" x14ac:dyDescent="0.3">
      <c r="E2889" s="2"/>
    </row>
    <row r="2890" spans="5:5" x14ac:dyDescent="0.3">
      <c r="E2890" s="2"/>
    </row>
    <row r="2891" spans="5:5" x14ac:dyDescent="0.3">
      <c r="E2891" s="2"/>
    </row>
    <row r="2892" spans="5:5" x14ac:dyDescent="0.3">
      <c r="E2892" s="2"/>
    </row>
    <row r="2893" spans="5:5" x14ac:dyDescent="0.3">
      <c r="E2893" s="2"/>
    </row>
    <row r="2894" spans="5:5" x14ac:dyDescent="0.3">
      <c r="E2894" s="2"/>
    </row>
    <row r="2895" spans="5:5" x14ac:dyDescent="0.3">
      <c r="E2895" s="2"/>
    </row>
    <row r="2896" spans="5:5" x14ac:dyDescent="0.3">
      <c r="E2896" s="2"/>
    </row>
    <row r="2897" spans="5:5" x14ac:dyDescent="0.3">
      <c r="E2897" s="2"/>
    </row>
    <row r="2898" spans="5:5" x14ac:dyDescent="0.3">
      <c r="E2898" s="2"/>
    </row>
    <row r="2899" spans="5:5" x14ac:dyDescent="0.3">
      <c r="E2899" s="2"/>
    </row>
    <row r="2900" spans="5:5" x14ac:dyDescent="0.3">
      <c r="E2900" s="2"/>
    </row>
    <row r="2901" spans="5:5" x14ac:dyDescent="0.3">
      <c r="E2901" s="2"/>
    </row>
    <row r="2902" spans="5:5" x14ac:dyDescent="0.3">
      <c r="E2902" s="2"/>
    </row>
    <row r="2903" spans="5:5" x14ac:dyDescent="0.3">
      <c r="E2903" s="2"/>
    </row>
    <row r="2904" spans="5:5" x14ac:dyDescent="0.3">
      <c r="E2904" s="2"/>
    </row>
    <row r="2905" spans="5:5" x14ac:dyDescent="0.3">
      <c r="E2905" s="2"/>
    </row>
    <row r="2906" spans="5:5" x14ac:dyDescent="0.3">
      <c r="E2906" s="2"/>
    </row>
    <row r="2907" spans="5:5" x14ac:dyDescent="0.3">
      <c r="E2907" s="2"/>
    </row>
    <row r="2908" spans="5:5" x14ac:dyDescent="0.3">
      <c r="E2908" s="2"/>
    </row>
    <row r="2909" spans="5:5" x14ac:dyDescent="0.3">
      <c r="E2909" s="2"/>
    </row>
    <row r="2910" spans="5:5" x14ac:dyDescent="0.3">
      <c r="E2910" s="2"/>
    </row>
    <row r="2911" spans="5:5" x14ac:dyDescent="0.3">
      <c r="E2911" s="2"/>
    </row>
    <row r="2912" spans="5:5" x14ac:dyDescent="0.3">
      <c r="E2912" s="2"/>
    </row>
    <row r="2913" spans="5:5" x14ac:dyDescent="0.3">
      <c r="E2913" s="2"/>
    </row>
    <row r="2914" spans="5:5" x14ac:dyDescent="0.3">
      <c r="E2914" s="2"/>
    </row>
    <row r="2915" spans="5:5" x14ac:dyDescent="0.3">
      <c r="E2915" s="2"/>
    </row>
    <row r="2916" spans="5:5" x14ac:dyDescent="0.3">
      <c r="E2916" s="2"/>
    </row>
    <row r="2917" spans="5:5" x14ac:dyDescent="0.3">
      <c r="E2917" s="2"/>
    </row>
    <row r="2918" spans="5:5" x14ac:dyDescent="0.3">
      <c r="E2918" s="2"/>
    </row>
    <row r="2919" spans="5:5" x14ac:dyDescent="0.3">
      <c r="E2919" s="2"/>
    </row>
    <row r="2920" spans="5:5" x14ac:dyDescent="0.3">
      <c r="E2920" s="2"/>
    </row>
    <row r="2921" spans="5:5" x14ac:dyDescent="0.3">
      <c r="E2921" s="2"/>
    </row>
    <row r="2922" spans="5:5" x14ac:dyDescent="0.3">
      <c r="E2922" s="2"/>
    </row>
    <row r="2923" spans="5:5" x14ac:dyDescent="0.3">
      <c r="E2923" s="2"/>
    </row>
    <row r="2924" spans="5:5" x14ac:dyDescent="0.3">
      <c r="E2924" s="2"/>
    </row>
    <row r="2925" spans="5:5" x14ac:dyDescent="0.3">
      <c r="E2925" s="2"/>
    </row>
    <row r="2926" spans="5:5" x14ac:dyDescent="0.3">
      <c r="E2926" s="2"/>
    </row>
    <row r="2927" spans="5:5" x14ac:dyDescent="0.3">
      <c r="E2927" s="2"/>
    </row>
    <row r="2928" spans="5:5" x14ac:dyDescent="0.3">
      <c r="E2928" s="2"/>
    </row>
    <row r="2929" spans="5:5" x14ac:dyDescent="0.3">
      <c r="E2929" s="2"/>
    </row>
    <row r="2930" spans="5:5" x14ac:dyDescent="0.3">
      <c r="E2930" s="2"/>
    </row>
    <row r="2931" spans="5:5" x14ac:dyDescent="0.3">
      <c r="E2931" s="2"/>
    </row>
    <row r="2932" spans="5:5" x14ac:dyDescent="0.3">
      <c r="E2932" s="2"/>
    </row>
    <row r="2933" spans="5:5" x14ac:dyDescent="0.3">
      <c r="E2933" s="2"/>
    </row>
    <row r="2934" spans="5:5" x14ac:dyDescent="0.3">
      <c r="E2934" s="2"/>
    </row>
    <row r="2935" spans="5:5" x14ac:dyDescent="0.3">
      <c r="E2935" s="2"/>
    </row>
    <row r="2936" spans="5:5" x14ac:dyDescent="0.3">
      <c r="E2936" s="2"/>
    </row>
    <row r="2937" spans="5:5" x14ac:dyDescent="0.3">
      <c r="E2937" s="2"/>
    </row>
    <row r="2938" spans="5:5" x14ac:dyDescent="0.3">
      <c r="E2938" s="2"/>
    </row>
    <row r="2939" spans="5:5" x14ac:dyDescent="0.3">
      <c r="E2939" s="2"/>
    </row>
    <row r="2940" spans="5:5" x14ac:dyDescent="0.3">
      <c r="E2940" s="2"/>
    </row>
    <row r="2941" spans="5:5" x14ac:dyDescent="0.3">
      <c r="E2941" s="2"/>
    </row>
    <row r="2942" spans="5:5" x14ac:dyDescent="0.3">
      <c r="E2942" s="2"/>
    </row>
    <row r="2943" spans="5:5" x14ac:dyDescent="0.3">
      <c r="E2943" s="2"/>
    </row>
    <row r="2944" spans="5:5" x14ac:dyDescent="0.3">
      <c r="E2944" s="2"/>
    </row>
    <row r="2945" spans="5:5" x14ac:dyDescent="0.3">
      <c r="E2945" s="2"/>
    </row>
    <row r="2946" spans="5:5" x14ac:dyDescent="0.3">
      <c r="E2946" s="2"/>
    </row>
    <row r="2947" spans="5:5" x14ac:dyDescent="0.3">
      <c r="E2947" s="2"/>
    </row>
    <row r="2948" spans="5:5" x14ac:dyDescent="0.3">
      <c r="E2948" s="2"/>
    </row>
    <row r="2949" spans="5:5" x14ac:dyDescent="0.3">
      <c r="E2949" s="2"/>
    </row>
    <row r="2950" spans="5:5" x14ac:dyDescent="0.3">
      <c r="E2950" s="2"/>
    </row>
    <row r="2951" spans="5:5" x14ac:dyDescent="0.3">
      <c r="E2951" s="2"/>
    </row>
    <row r="2952" spans="5:5" x14ac:dyDescent="0.3">
      <c r="E2952" s="2"/>
    </row>
    <row r="2953" spans="5:5" x14ac:dyDescent="0.3">
      <c r="E2953" s="2"/>
    </row>
    <row r="2954" spans="5:5" x14ac:dyDescent="0.3">
      <c r="E2954" s="2"/>
    </row>
    <row r="2955" spans="5:5" x14ac:dyDescent="0.3">
      <c r="E2955" s="2"/>
    </row>
    <row r="2956" spans="5:5" x14ac:dyDescent="0.3">
      <c r="E2956" s="2"/>
    </row>
    <row r="2957" spans="5:5" x14ac:dyDescent="0.3">
      <c r="E2957" s="2"/>
    </row>
    <row r="2958" spans="5:5" x14ac:dyDescent="0.3">
      <c r="E2958" s="2"/>
    </row>
    <row r="2959" spans="5:5" x14ac:dyDescent="0.3">
      <c r="E2959" s="2"/>
    </row>
    <row r="2960" spans="5:5" x14ac:dyDescent="0.3">
      <c r="E2960" s="2"/>
    </row>
    <row r="2961" spans="5:5" x14ac:dyDescent="0.3">
      <c r="E2961" s="2"/>
    </row>
    <row r="2962" spans="5:5" x14ac:dyDescent="0.3">
      <c r="E2962" s="2"/>
    </row>
    <row r="2963" spans="5:5" x14ac:dyDescent="0.3">
      <c r="E2963" s="2"/>
    </row>
    <row r="2964" spans="5:5" x14ac:dyDescent="0.3">
      <c r="E2964" s="2"/>
    </row>
    <row r="2965" spans="5:5" x14ac:dyDescent="0.3">
      <c r="E2965" s="2"/>
    </row>
    <row r="2966" spans="5:5" x14ac:dyDescent="0.3">
      <c r="E2966" s="2"/>
    </row>
    <row r="2967" spans="5:5" x14ac:dyDescent="0.3">
      <c r="E2967" s="2"/>
    </row>
    <row r="2968" spans="5:5" x14ac:dyDescent="0.3">
      <c r="E2968" s="2"/>
    </row>
    <row r="2969" spans="5:5" x14ac:dyDescent="0.3">
      <c r="E2969" s="2"/>
    </row>
    <row r="2970" spans="5:5" x14ac:dyDescent="0.3">
      <c r="E2970" s="2"/>
    </row>
    <row r="2971" spans="5:5" x14ac:dyDescent="0.3">
      <c r="E2971" s="2"/>
    </row>
    <row r="2972" spans="5:5" x14ac:dyDescent="0.3">
      <c r="E2972" s="2"/>
    </row>
    <row r="2973" spans="5:5" x14ac:dyDescent="0.3">
      <c r="E2973" s="2"/>
    </row>
    <row r="2974" spans="5:5" x14ac:dyDescent="0.3">
      <c r="E2974" s="2"/>
    </row>
    <row r="2975" spans="5:5" x14ac:dyDescent="0.3">
      <c r="E2975" s="2"/>
    </row>
    <row r="2976" spans="5:5" x14ac:dyDescent="0.3">
      <c r="E2976" s="2"/>
    </row>
    <row r="2977" spans="5:5" x14ac:dyDescent="0.3">
      <c r="E2977" s="2"/>
    </row>
    <row r="2978" spans="5:5" x14ac:dyDescent="0.3">
      <c r="E2978" s="2"/>
    </row>
    <row r="2979" spans="5:5" x14ac:dyDescent="0.3">
      <c r="E2979" s="2"/>
    </row>
    <row r="2980" spans="5:5" x14ac:dyDescent="0.3">
      <c r="E2980" s="2"/>
    </row>
    <row r="2981" spans="5:5" x14ac:dyDescent="0.3">
      <c r="E2981" s="2"/>
    </row>
    <row r="2982" spans="5:5" x14ac:dyDescent="0.3">
      <c r="E2982" s="2"/>
    </row>
    <row r="2983" spans="5:5" x14ac:dyDescent="0.3">
      <c r="E2983" s="2"/>
    </row>
    <row r="2984" spans="5:5" x14ac:dyDescent="0.3">
      <c r="E2984" s="2"/>
    </row>
    <row r="2985" spans="5:5" x14ac:dyDescent="0.3">
      <c r="E2985" s="2"/>
    </row>
    <row r="2986" spans="5:5" x14ac:dyDescent="0.3">
      <c r="E2986" s="2"/>
    </row>
    <row r="2987" spans="5:5" x14ac:dyDescent="0.3">
      <c r="E2987" s="2"/>
    </row>
    <row r="2988" spans="5:5" x14ac:dyDescent="0.3">
      <c r="E2988" s="2"/>
    </row>
    <row r="2989" spans="5:5" x14ac:dyDescent="0.3">
      <c r="E2989" s="2"/>
    </row>
    <row r="2990" spans="5:5" x14ac:dyDescent="0.3">
      <c r="E2990" s="2"/>
    </row>
    <row r="2991" spans="5:5" x14ac:dyDescent="0.3">
      <c r="E2991" s="2"/>
    </row>
    <row r="2992" spans="5:5" x14ac:dyDescent="0.3">
      <c r="E2992" s="2"/>
    </row>
    <row r="2993" spans="5:5" x14ac:dyDescent="0.3">
      <c r="E2993" s="2"/>
    </row>
    <row r="2994" spans="5:5" x14ac:dyDescent="0.3">
      <c r="E2994" s="2"/>
    </row>
    <row r="2995" spans="5:5" x14ac:dyDescent="0.3">
      <c r="E2995" s="2"/>
    </row>
    <row r="2996" spans="5:5" x14ac:dyDescent="0.3">
      <c r="E2996" s="2"/>
    </row>
    <row r="2997" spans="5:5" x14ac:dyDescent="0.3">
      <c r="E2997" s="2"/>
    </row>
    <row r="2998" spans="5:5" x14ac:dyDescent="0.3">
      <c r="E2998" s="2"/>
    </row>
    <row r="2999" spans="5:5" x14ac:dyDescent="0.3">
      <c r="E2999" s="2"/>
    </row>
    <row r="3000" spans="5:5" x14ac:dyDescent="0.3">
      <c r="E3000" s="2"/>
    </row>
    <row r="3001" spans="5:5" x14ac:dyDescent="0.3">
      <c r="E3001" s="2"/>
    </row>
    <row r="3002" spans="5:5" x14ac:dyDescent="0.3">
      <c r="E3002" s="2"/>
    </row>
    <row r="3003" spans="5:5" x14ac:dyDescent="0.3">
      <c r="E3003" s="2"/>
    </row>
    <row r="3004" spans="5:5" x14ac:dyDescent="0.3">
      <c r="E3004" s="2"/>
    </row>
    <row r="3005" spans="5:5" x14ac:dyDescent="0.3">
      <c r="E3005" s="2"/>
    </row>
    <row r="3006" spans="5:5" x14ac:dyDescent="0.3">
      <c r="E3006" s="2"/>
    </row>
    <row r="3007" spans="5:5" x14ac:dyDescent="0.3">
      <c r="E3007" s="2"/>
    </row>
    <row r="3008" spans="5:5" x14ac:dyDescent="0.3">
      <c r="E3008" s="2"/>
    </row>
    <row r="3009" spans="5:5" x14ac:dyDescent="0.3">
      <c r="E3009" s="2"/>
    </row>
    <row r="3010" spans="5:5" x14ac:dyDescent="0.3">
      <c r="E3010" s="2"/>
    </row>
    <row r="3011" spans="5:5" x14ac:dyDescent="0.3">
      <c r="E3011" s="2"/>
    </row>
    <row r="3012" spans="5:5" x14ac:dyDescent="0.3">
      <c r="E3012" s="2"/>
    </row>
    <row r="3013" spans="5:5" x14ac:dyDescent="0.3">
      <c r="E3013" s="2"/>
    </row>
    <row r="3014" spans="5:5" x14ac:dyDescent="0.3">
      <c r="E3014" s="2"/>
    </row>
    <row r="3015" spans="5:5" x14ac:dyDescent="0.3">
      <c r="E3015" s="2"/>
    </row>
    <row r="3016" spans="5:5" x14ac:dyDescent="0.3">
      <c r="E3016" s="2"/>
    </row>
    <row r="3017" spans="5:5" x14ac:dyDescent="0.3">
      <c r="E3017" s="2"/>
    </row>
    <row r="3018" spans="5:5" x14ac:dyDescent="0.3">
      <c r="E3018" s="2"/>
    </row>
    <row r="3019" spans="5:5" x14ac:dyDescent="0.3">
      <c r="E3019" s="2"/>
    </row>
    <row r="3020" spans="5:5" x14ac:dyDescent="0.3">
      <c r="E3020" s="2"/>
    </row>
    <row r="3021" spans="5:5" x14ac:dyDescent="0.3">
      <c r="E3021" s="2"/>
    </row>
    <row r="3022" spans="5:5" x14ac:dyDescent="0.3">
      <c r="E3022" s="2"/>
    </row>
    <row r="3023" spans="5:5" x14ac:dyDescent="0.3">
      <c r="E3023" s="2"/>
    </row>
    <row r="3024" spans="5:5" x14ac:dyDescent="0.3">
      <c r="E3024" s="2"/>
    </row>
    <row r="3025" spans="5:5" x14ac:dyDescent="0.3">
      <c r="E3025" s="2"/>
    </row>
    <row r="3026" spans="5:5" x14ac:dyDescent="0.3">
      <c r="E3026" s="2"/>
    </row>
    <row r="3027" spans="5:5" x14ac:dyDescent="0.3">
      <c r="E3027" s="2"/>
    </row>
    <row r="3028" spans="5:5" x14ac:dyDescent="0.3">
      <c r="E3028" s="2"/>
    </row>
    <row r="3029" spans="5:5" x14ac:dyDescent="0.3">
      <c r="E3029" s="2"/>
    </row>
    <row r="3030" spans="5:5" x14ac:dyDescent="0.3">
      <c r="E3030" s="2"/>
    </row>
    <row r="3031" spans="5:5" x14ac:dyDescent="0.3">
      <c r="E3031" s="2"/>
    </row>
    <row r="3032" spans="5:5" x14ac:dyDescent="0.3">
      <c r="E3032" s="2"/>
    </row>
    <row r="3033" spans="5:5" x14ac:dyDescent="0.3">
      <c r="E3033" s="2"/>
    </row>
    <row r="3034" spans="5:5" x14ac:dyDescent="0.3">
      <c r="E3034" s="2"/>
    </row>
    <row r="3035" spans="5:5" x14ac:dyDescent="0.3">
      <c r="E3035" s="2"/>
    </row>
    <row r="3036" spans="5:5" x14ac:dyDescent="0.3">
      <c r="E3036" s="2"/>
    </row>
    <row r="3037" spans="5:5" x14ac:dyDescent="0.3">
      <c r="E3037" s="2"/>
    </row>
    <row r="3038" spans="5:5" x14ac:dyDescent="0.3">
      <c r="E3038" s="2"/>
    </row>
    <row r="3039" spans="5:5" x14ac:dyDescent="0.3">
      <c r="E3039" s="2"/>
    </row>
    <row r="3040" spans="5:5" x14ac:dyDescent="0.3">
      <c r="E3040" s="2"/>
    </row>
    <row r="3041" spans="5:5" x14ac:dyDescent="0.3">
      <c r="E3041" s="2"/>
    </row>
    <row r="3042" spans="5:5" x14ac:dyDescent="0.3">
      <c r="E3042" s="2"/>
    </row>
    <row r="3043" spans="5:5" x14ac:dyDescent="0.3">
      <c r="E3043" s="2"/>
    </row>
    <row r="3044" spans="5:5" x14ac:dyDescent="0.3">
      <c r="E3044" s="2"/>
    </row>
    <row r="3045" spans="5:5" x14ac:dyDescent="0.3">
      <c r="E3045" s="2"/>
    </row>
    <row r="3046" spans="5:5" x14ac:dyDescent="0.3">
      <c r="E3046" s="2"/>
    </row>
    <row r="3047" spans="5:5" x14ac:dyDescent="0.3">
      <c r="E3047" s="2"/>
    </row>
    <row r="3048" spans="5:5" x14ac:dyDescent="0.3">
      <c r="E3048" s="2"/>
    </row>
    <row r="3049" spans="5:5" x14ac:dyDescent="0.3">
      <c r="E3049" s="2"/>
    </row>
    <row r="3050" spans="5:5" x14ac:dyDescent="0.3">
      <c r="E3050" s="2"/>
    </row>
    <row r="3051" spans="5:5" x14ac:dyDescent="0.3">
      <c r="E3051" s="2"/>
    </row>
    <row r="3052" spans="5:5" x14ac:dyDescent="0.3">
      <c r="E3052" s="2"/>
    </row>
    <row r="3053" spans="5:5" x14ac:dyDescent="0.3">
      <c r="E3053" s="2"/>
    </row>
    <row r="3054" spans="5:5" x14ac:dyDescent="0.3">
      <c r="E3054" s="2"/>
    </row>
    <row r="3055" spans="5:5" x14ac:dyDescent="0.3">
      <c r="E3055" s="2"/>
    </row>
    <row r="3056" spans="5:5" x14ac:dyDescent="0.3">
      <c r="E3056" s="2"/>
    </row>
    <row r="3057" spans="5:5" x14ac:dyDescent="0.3">
      <c r="E3057" s="2"/>
    </row>
    <row r="3058" spans="5:5" x14ac:dyDescent="0.3">
      <c r="E3058" s="2"/>
    </row>
    <row r="3059" spans="5:5" x14ac:dyDescent="0.3">
      <c r="E3059" s="2"/>
    </row>
    <row r="3060" spans="5:5" x14ac:dyDescent="0.3">
      <c r="E3060" s="2"/>
    </row>
    <row r="3061" spans="5:5" x14ac:dyDescent="0.3">
      <c r="E3061" s="2"/>
    </row>
    <row r="3062" spans="5:5" x14ac:dyDescent="0.3">
      <c r="E3062" s="2"/>
    </row>
    <row r="3063" spans="5:5" x14ac:dyDescent="0.3">
      <c r="E3063" s="2"/>
    </row>
    <row r="3064" spans="5:5" x14ac:dyDescent="0.3">
      <c r="E3064" s="2"/>
    </row>
    <row r="3065" spans="5:5" x14ac:dyDescent="0.3">
      <c r="E3065" s="2"/>
    </row>
    <row r="3066" spans="5:5" x14ac:dyDescent="0.3">
      <c r="E3066" s="2"/>
    </row>
    <row r="3067" spans="5:5" x14ac:dyDescent="0.3">
      <c r="E3067" s="2"/>
    </row>
    <row r="3068" spans="5:5" x14ac:dyDescent="0.3">
      <c r="E3068" s="2"/>
    </row>
    <row r="3069" spans="5:5" x14ac:dyDescent="0.3">
      <c r="E3069" s="2"/>
    </row>
    <row r="3070" spans="5:5" x14ac:dyDescent="0.3">
      <c r="E3070" s="2"/>
    </row>
    <row r="3071" spans="5:5" x14ac:dyDescent="0.3">
      <c r="E3071" s="2"/>
    </row>
    <row r="3072" spans="5:5" x14ac:dyDescent="0.3">
      <c r="E3072" s="2"/>
    </row>
    <row r="3073" spans="5:5" x14ac:dyDescent="0.3">
      <c r="E3073" s="2"/>
    </row>
    <row r="3074" spans="5:5" x14ac:dyDescent="0.3">
      <c r="E3074" s="2"/>
    </row>
    <row r="3075" spans="5:5" x14ac:dyDescent="0.3">
      <c r="E3075" s="2"/>
    </row>
    <row r="3076" spans="5:5" x14ac:dyDescent="0.3">
      <c r="E3076" s="2"/>
    </row>
    <row r="3077" spans="5:5" x14ac:dyDescent="0.3">
      <c r="E3077" s="2"/>
    </row>
    <row r="3078" spans="5:5" x14ac:dyDescent="0.3">
      <c r="E3078" s="2"/>
    </row>
    <row r="3079" spans="5:5" x14ac:dyDescent="0.3">
      <c r="E3079" s="2"/>
    </row>
    <row r="3080" spans="5:5" x14ac:dyDescent="0.3">
      <c r="E3080" s="2"/>
    </row>
    <row r="3081" spans="5:5" x14ac:dyDescent="0.3">
      <c r="E3081" s="2"/>
    </row>
    <row r="3082" spans="5:5" x14ac:dyDescent="0.3">
      <c r="E3082" s="2"/>
    </row>
    <row r="3083" spans="5:5" x14ac:dyDescent="0.3">
      <c r="E3083" s="2"/>
    </row>
    <row r="3084" spans="5:5" x14ac:dyDescent="0.3">
      <c r="E3084" s="2"/>
    </row>
    <row r="3085" spans="5:5" x14ac:dyDescent="0.3">
      <c r="E3085" s="2"/>
    </row>
    <row r="3086" spans="5:5" x14ac:dyDescent="0.3">
      <c r="E3086" s="2"/>
    </row>
    <row r="3087" spans="5:5" x14ac:dyDescent="0.3">
      <c r="E3087" s="2"/>
    </row>
    <row r="3088" spans="5:5" x14ac:dyDescent="0.3">
      <c r="E3088" s="2"/>
    </row>
    <row r="3089" spans="5:5" x14ac:dyDescent="0.3">
      <c r="E3089" s="2"/>
    </row>
    <row r="3090" spans="5:5" x14ac:dyDescent="0.3">
      <c r="E3090" s="2"/>
    </row>
    <row r="3091" spans="5:5" x14ac:dyDescent="0.3">
      <c r="E3091" s="2"/>
    </row>
    <row r="3092" spans="5:5" x14ac:dyDescent="0.3">
      <c r="E3092" s="2"/>
    </row>
    <row r="3093" spans="5:5" x14ac:dyDescent="0.3">
      <c r="E3093" s="2"/>
    </row>
    <row r="3094" spans="5:5" x14ac:dyDescent="0.3">
      <c r="E3094" s="2"/>
    </row>
    <row r="3095" spans="5:5" x14ac:dyDescent="0.3">
      <c r="E3095" s="2"/>
    </row>
    <row r="3096" spans="5:5" x14ac:dyDescent="0.3">
      <c r="E3096" s="2"/>
    </row>
    <row r="3097" spans="5:5" x14ac:dyDescent="0.3">
      <c r="E3097" s="2"/>
    </row>
    <row r="3098" spans="5:5" x14ac:dyDescent="0.3">
      <c r="E3098" s="2"/>
    </row>
    <row r="3099" spans="5:5" x14ac:dyDescent="0.3">
      <c r="E3099" s="2"/>
    </row>
    <row r="3100" spans="5:5" x14ac:dyDescent="0.3">
      <c r="E3100" s="2"/>
    </row>
    <row r="3101" spans="5:5" x14ac:dyDescent="0.3">
      <c r="E3101" s="2"/>
    </row>
    <row r="3102" spans="5:5" x14ac:dyDescent="0.3">
      <c r="E3102" s="2"/>
    </row>
    <row r="3103" spans="5:5" x14ac:dyDescent="0.3">
      <c r="E3103" s="2"/>
    </row>
    <row r="3104" spans="5:5" x14ac:dyDescent="0.3">
      <c r="E3104" s="2"/>
    </row>
    <row r="3105" spans="5:5" x14ac:dyDescent="0.3">
      <c r="E3105" s="2"/>
    </row>
    <row r="3106" spans="5:5" x14ac:dyDescent="0.3">
      <c r="E3106" s="2"/>
    </row>
    <row r="3107" spans="5:5" x14ac:dyDescent="0.3">
      <c r="E3107" s="2"/>
    </row>
    <row r="3108" spans="5:5" x14ac:dyDescent="0.3">
      <c r="E3108" s="2"/>
    </row>
    <row r="3109" spans="5:5" x14ac:dyDescent="0.3">
      <c r="E3109" s="2"/>
    </row>
    <row r="3110" spans="5:5" x14ac:dyDescent="0.3">
      <c r="E3110" s="2"/>
    </row>
    <row r="3111" spans="5:5" x14ac:dyDescent="0.3">
      <c r="E3111" s="2"/>
    </row>
    <row r="3112" spans="5:5" x14ac:dyDescent="0.3">
      <c r="E3112" s="2"/>
    </row>
    <row r="3113" spans="5:5" x14ac:dyDescent="0.3">
      <c r="E3113" s="2"/>
    </row>
    <row r="3114" spans="5:5" x14ac:dyDescent="0.3">
      <c r="E3114" s="2"/>
    </row>
    <row r="3115" spans="5:5" x14ac:dyDescent="0.3">
      <c r="E3115" s="2"/>
    </row>
    <row r="3116" spans="5:5" x14ac:dyDescent="0.3">
      <c r="E3116" s="2"/>
    </row>
    <row r="3117" spans="5:5" x14ac:dyDescent="0.3">
      <c r="E3117" s="2"/>
    </row>
    <row r="3118" spans="5:5" x14ac:dyDescent="0.3">
      <c r="E3118" s="2"/>
    </row>
    <row r="3119" spans="5:5" x14ac:dyDescent="0.3">
      <c r="E3119" s="2"/>
    </row>
    <row r="3120" spans="5:5" x14ac:dyDescent="0.3">
      <c r="E3120" s="2"/>
    </row>
    <row r="3121" spans="5:5" x14ac:dyDescent="0.3">
      <c r="E3121" s="2"/>
    </row>
    <row r="3122" spans="5:5" x14ac:dyDescent="0.3">
      <c r="E3122" s="2"/>
    </row>
    <row r="3123" spans="5:5" x14ac:dyDescent="0.3">
      <c r="E3123" s="2"/>
    </row>
    <row r="3124" spans="5:5" x14ac:dyDescent="0.3">
      <c r="E3124" s="2"/>
    </row>
    <row r="3125" spans="5:5" x14ac:dyDescent="0.3">
      <c r="E3125" s="2"/>
    </row>
    <row r="3126" spans="5:5" x14ac:dyDescent="0.3">
      <c r="E3126" s="2"/>
    </row>
    <row r="3127" spans="5:5" x14ac:dyDescent="0.3">
      <c r="E3127" s="2"/>
    </row>
    <row r="3128" spans="5:5" x14ac:dyDescent="0.3">
      <c r="E3128" s="2"/>
    </row>
    <row r="3129" spans="5:5" x14ac:dyDescent="0.3">
      <c r="E3129" s="2"/>
    </row>
    <row r="3130" spans="5:5" x14ac:dyDescent="0.3">
      <c r="E3130" s="2"/>
    </row>
    <row r="3131" spans="5:5" x14ac:dyDescent="0.3">
      <c r="E3131" s="2"/>
    </row>
    <row r="3132" spans="5:5" x14ac:dyDescent="0.3">
      <c r="E3132" s="2"/>
    </row>
    <row r="3133" spans="5:5" x14ac:dyDescent="0.3">
      <c r="E3133" s="2"/>
    </row>
    <row r="3134" spans="5:5" x14ac:dyDescent="0.3">
      <c r="E3134" s="2"/>
    </row>
    <row r="3135" spans="5:5" x14ac:dyDescent="0.3">
      <c r="E3135" s="2"/>
    </row>
    <row r="3136" spans="5:5" x14ac:dyDescent="0.3">
      <c r="E3136" s="2"/>
    </row>
    <row r="3137" spans="5:5" x14ac:dyDescent="0.3">
      <c r="E3137" s="2"/>
    </row>
    <row r="3138" spans="5:5" x14ac:dyDescent="0.3">
      <c r="E3138" s="2"/>
    </row>
    <row r="3139" spans="5:5" x14ac:dyDescent="0.3">
      <c r="E3139" s="2"/>
    </row>
    <row r="3140" spans="5:5" x14ac:dyDescent="0.3">
      <c r="E3140" s="2"/>
    </row>
    <row r="3141" spans="5:5" x14ac:dyDescent="0.3">
      <c r="E3141" s="2"/>
    </row>
    <row r="3142" spans="5:5" x14ac:dyDescent="0.3">
      <c r="E3142" s="2"/>
    </row>
    <row r="3143" spans="5:5" x14ac:dyDescent="0.3">
      <c r="E3143" s="2"/>
    </row>
    <row r="3144" spans="5:5" x14ac:dyDescent="0.3">
      <c r="E3144" s="2"/>
    </row>
    <row r="3145" spans="5:5" x14ac:dyDescent="0.3">
      <c r="E3145" s="2"/>
    </row>
    <row r="3146" spans="5:5" x14ac:dyDescent="0.3">
      <c r="E3146" s="2"/>
    </row>
    <row r="3147" spans="5:5" x14ac:dyDescent="0.3">
      <c r="E3147" s="2"/>
    </row>
    <row r="3148" spans="5:5" x14ac:dyDescent="0.3">
      <c r="E3148" s="2"/>
    </row>
    <row r="3149" spans="5:5" x14ac:dyDescent="0.3">
      <c r="E3149" s="2"/>
    </row>
    <row r="3150" spans="5:5" x14ac:dyDescent="0.3">
      <c r="E3150" s="2"/>
    </row>
    <row r="3151" spans="5:5" x14ac:dyDescent="0.3">
      <c r="E3151" s="2"/>
    </row>
    <row r="3152" spans="5:5" x14ac:dyDescent="0.3">
      <c r="E3152" s="2"/>
    </row>
    <row r="3153" spans="5:5" x14ac:dyDescent="0.3">
      <c r="E3153" s="2"/>
    </row>
    <row r="3154" spans="5:5" x14ac:dyDescent="0.3">
      <c r="E3154" s="2"/>
    </row>
    <row r="3155" spans="5:5" x14ac:dyDescent="0.3">
      <c r="E3155" s="2"/>
    </row>
    <row r="3156" spans="5:5" x14ac:dyDescent="0.3">
      <c r="E3156" s="2"/>
    </row>
    <row r="3157" spans="5:5" x14ac:dyDescent="0.3">
      <c r="E3157" s="2"/>
    </row>
    <row r="3158" spans="5:5" x14ac:dyDescent="0.3">
      <c r="E3158" s="2"/>
    </row>
    <row r="3159" spans="5:5" x14ac:dyDescent="0.3">
      <c r="E3159" s="2"/>
    </row>
    <row r="3160" spans="5:5" x14ac:dyDescent="0.3">
      <c r="E3160" s="2"/>
    </row>
    <row r="3161" spans="5:5" x14ac:dyDescent="0.3">
      <c r="E3161" s="2"/>
    </row>
    <row r="3162" spans="5:5" x14ac:dyDescent="0.3">
      <c r="E3162" s="2"/>
    </row>
    <row r="3163" spans="5:5" x14ac:dyDescent="0.3">
      <c r="E3163" s="2"/>
    </row>
    <row r="3164" spans="5:5" x14ac:dyDescent="0.3">
      <c r="E3164" s="2"/>
    </row>
    <row r="3165" spans="5:5" x14ac:dyDescent="0.3">
      <c r="E3165" s="2"/>
    </row>
    <row r="3166" spans="5:5" x14ac:dyDescent="0.3">
      <c r="E3166" s="2"/>
    </row>
    <row r="3167" spans="5:5" x14ac:dyDescent="0.3">
      <c r="E3167" s="2"/>
    </row>
    <row r="3168" spans="5:5" x14ac:dyDescent="0.3">
      <c r="E3168" s="2"/>
    </row>
    <row r="3169" spans="5:5" x14ac:dyDescent="0.3">
      <c r="E3169" s="2"/>
    </row>
    <row r="3170" spans="5:5" x14ac:dyDescent="0.3">
      <c r="E3170" s="2"/>
    </row>
    <row r="3171" spans="5:5" x14ac:dyDescent="0.3">
      <c r="E3171" s="2"/>
    </row>
    <row r="3172" spans="5:5" x14ac:dyDescent="0.3">
      <c r="E3172" s="2"/>
    </row>
    <row r="3173" spans="5:5" x14ac:dyDescent="0.3">
      <c r="E3173" s="2"/>
    </row>
    <row r="3174" spans="5:5" x14ac:dyDescent="0.3">
      <c r="E3174" s="2"/>
    </row>
    <row r="3175" spans="5:5" x14ac:dyDescent="0.3">
      <c r="E3175" s="2"/>
    </row>
    <row r="3176" spans="5:5" x14ac:dyDescent="0.3">
      <c r="E3176" s="2"/>
    </row>
    <row r="3177" spans="5:5" x14ac:dyDescent="0.3">
      <c r="E3177" s="2"/>
    </row>
    <row r="3178" spans="5:5" x14ac:dyDescent="0.3">
      <c r="E3178" s="2"/>
    </row>
    <row r="3179" spans="5:5" x14ac:dyDescent="0.3">
      <c r="E3179" s="2"/>
    </row>
    <row r="3180" spans="5:5" x14ac:dyDescent="0.3">
      <c r="E3180" s="2"/>
    </row>
    <row r="3181" spans="5:5" x14ac:dyDescent="0.3">
      <c r="E3181" s="2"/>
    </row>
    <row r="3182" spans="5:5" x14ac:dyDescent="0.3">
      <c r="E3182" s="2"/>
    </row>
    <row r="3183" spans="5:5" x14ac:dyDescent="0.3">
      <c r="E3183" s="2"/>
    </row>
    <row r="3184" spans="5:5" x14ac:dyDescent="0.3">
      <c r="E3184" s="2"/>
    </row>
    <row r="3185" spans="5:5" x14ac:dyDescent="0.3">
      <c r="E3185" s="2"/>
    </row>
    <row r="3186" spans="5:5" x14ac:dyDescent="0.3">
      <c r="E3186" s="2"/>
    </row>
    <row r="3187" spans="5:5" x14ac:dyDescent="0.3">
      <c r="E3187" s="2"/>
    </row>
    <row r="3188" spans="5:5" x14ac:dyDescent="0.3">
      <c r="E3188" s="2"/>
    </row>
    <row r="3189" spans="5:5" x14ac:dyDescent="0.3">
      <c r="E3189" s="2"/>
    </row>
    <row r="3190" spans="5:5" x14ac:dyDescent="0.3">
      <c r="E3190" s="2"/>
    </row>
    <row r="3191" spans="5:5" x14ac:dyDescent="0.3">
      <c r="E3191" s="2"/>
    </row>
    <row r="3192" spans="5:5" x14ac:dyDescent="0.3">
      <c r="E3192" s="2"/>
    </row>
    <row r="3193" spans="5:5" x14ac:dyDescent="0.3">
      <c r="E3193" s="2"/>
    </row>
    <row r="3194" spans="5:5" x14ac:dyDescent="0.3">
      <c r="E3194" s="2"/>
    </row>
    <row r="3195" spans="5:5" x14ac:dyDescent="0.3">
      <c r="E3195" s="2"/>
    </row>
    <row r="3196" spans="5:5" x14ac:dyDescent="0.3">
      <c r="E3196" s="2"/>
    </row>
    <row r="3197" spans="5:5" x14ac:dyDescent="0.3">
      <c r="E3197" s="2"/>
    </row>
    <row r="3198" spans="5:5" x14ac:dyDescent="0.3">
      <c r="E3198" s="2"/>
    </row>
    <row r="3199" spans="5:5" x14ac:dyDescent="0.3">
      <c r="E3199" s="2"/>
    </row>
    <row r="3200" spans="5:5" x14ac:dyDescent="0.3">
      <c r="E3200" s="2"/>
    </row>
    <row r="3201" spans="5:5" x14ac:dyDescent="0.3">
      <c r="E3201" s="2"/>
    </row>
    <row r="3202" spans="5:5" x14ac:dyDescent="0.3">
      <c r="E3202" s="2"/>
    </row>
    <row r="3203" spans="5:5" x14ac:dyDescent="0.3">
      <c r="E3203" s="2"/>
    </row>
    <row r="3204" spans="5:5" x14ac:dyDescent="0.3">
      <c r="E3204" s="2"/>
    </row>
    <row r="3205" spans="5:5" x14ac:dyDescent="0.3">
      <c r="E3205" s="2"/>
    </row>
    <row r="3206" spans="5:5" x14ac:dyDescent="0.3">
      <c r="E3206" s="2"/>
    </row>
    <row r="3207" spans="5:5" x14ac:dyDescent="0.3">
      <c r="E3207" s="2"/>
    </row>
    <row r="3208" spans="5:5" x14ac:dyDescent="0.3">
      <c r="E3208" s="2"/>
    </row>
    <row r="3209" spans="5:5" x14ac:dyDescent="0.3">
      <c r="E3209" s="2"/>
    </row>
    <row r="3210" spans="5:5" x14ac:dyDescent="0.3">
      <c r="E3210" s="2"/>
    </row>
    <row r="3211" spans="5:5" x14ac:dyDescent="0.3">
      <c r="E3211" s="2"/>
    </row>
    <row r="3212" spans="5:5" x14ac:dyDescent="0.3">
      <c r="E3212" s="2"/>
    </row>
    <row r="3213" spans="5:5" x14ac:dyDescent="0.3">
      <c r="E3213" s="2"/>
    </row>
    <row r="3214" spans="5:5" x14ac:dyDescent="0.3">
      <c r="E3214" s="2"/>
    </row>
    <row r="3215" spans="5:5" x14ac:dyDescent="0.3">
      <c r="E3215" s="2"/>
    </row>
    <row r="3216" spans="5:5" x14ac:dyDescent="0.3">
      <c r="E3216" s="2"/>
    </row>
    <row r="3217" spans="5:5" x14ac:dyDescent="0.3">
      <c r="E3217" s="2"/>
    </row>
    <row r="3218" spans="5:5" x14ac:dyDescent="0.3">
      <c r="E3218" s="2"/>
    </row>
    <row r="3219" spans="5:5" x14ac:dyDescent="0.3">
      <c r="E3219" s="2"/>
    </row>
    <row r="3220" spans="5:5" x14ac:dyDescent="0.3">
      <c r="E3220" s="2"/>
    </row>
    <row r="3221" spans="5:5" x14ac:dyDescent="0.3">
      <c r="E3221" s="2"/>
    </row>
    <row r="3222" spans="5:5" x14ac:dyDescent="0.3">
      <c r="E3222" s="2"/>
    </row>
    <row r="3223" spans="5:5" x14ac:dyDescent="0.3">
      <c r="E3223" s="2"/>
    </row>
    <row r="3224" spans="5:5" x14ac:dyDescent="0.3">
      <c r="E3224" s="2"/>
    </row>
    <row r="3225" spans="5:5" x14ac:dyDescent="0.3">
      <c r="E3225" s="2"/>
    </row>
    <row r="3226" spans="5:5" x14ac:dyDescent="0.3">
      <c r="E3226" s="2"/>
    </row>
    <row r="3227" spans="5:5" x14ac:dyDescent="0.3">
      <c r="E3227" s="2"/>
    </row>
    <row r="3228" spans="5:5" x14ac:dyDescent="0.3">
      <c r="E3228" s="2"/>
    </row>
    <row r="3229" spans="5:5" x14ac:dyDescent="0.3">
      <c r="E3229" s="2"/>
    </row>
    <row r="3230" spans="5:5" x14ac:dyDescent="0.3">
      <c r="E3230" s="2"/>
    </row>
    <row r="3231" spans="5:5" x14ac:dyDescent="0.3">
      <c r="E3231" s="2"/>
    </row>
    <row r="3232" spans="5:5" x14ac:dyDescent="0.3">
      <c r="E3232" s="2"/>
    </row>
    <row r="3233" spans="5:5" x14ac:dyDescent="0.3">
      <c r="E3233" s="2"/>
    </row>
    <row r="3234" spans="5:5" x14ac:dyDescent="0.3">
      <c r="E3234" s="2"/>
    </row>
    <row r="3235" spans="5:5" x14ac:dyDescent="0.3">
      <c r="E3235" s="2"/>
    </row>
    <row r="3236" spans="5:5" x14ac:dyDescent="0.3">
      <c r="E3236" s="2"/>
    </row>
    <row r="3237" spans="5:5" x14ac:dyDescent="0.3">
      <c r="E3237" s="2"/>
    </row>
    <row r="3238" spans="5:5" x14ac:dyDescent="0.3">
      <c r="E3238" s="2"/>
    </row>
    <row r="3239" spans="5:5" x14ac:dyDescent="0.3">
      <c r="E3239" s="2"/>
    </row>
    <row r="3240" spans="5:5" x14ac:dyDescent="0.3">
      <c r="E3240" s="2"/>
    </row>
    <row r="3241" spans="5:5" x14ac:dyDescent="0.3">
      <c r="E3241" s="2"/>
    </row>
    <row r="3242" spans="5:5" x14ac:dyDescent="0.3">
      <c r="E3242" s="2"/>
    </row>
    <row r="3243" spans="5:5" x14ac:dyDescent="0.3">
      <c r="E3243" s="2"/>
    </row>
    <row r="3244" spans="5:5" x14ac:dyDescent="0.3">
      <c r="E3244" s="2"/>
    </row>
    <row r="3245" spans="5:5" x14ac:dyDescent="0.3">
      <c r="E3245" s="2"/>
    </row>
    <row r="3246" spans="5:5" x14ac:dyDescent="0.3">
      <c r="E3246" s="2"/>
    </row>
    <row r="3247" spans="5:5" x14ac:dyDescent="0.3">
      <c r="E3247" s="2"/>
    </row>
    <row r="3248" spans="5:5" x14ac:dyDescent="0.3">
      <c r="E3248" s="2"/>
    </row>
    <row r="3249" spans="5:5" x14ac:dyDescent="0.3">
      <c r="E3249" s="2"/>
    </row>
    <row r="3250" spans="5:5" x14ac:dyDescent="0.3">
      <c r="E3250" s="2"/>
    </row>
    <row r="3251" spans="5:5" x14ac:dyDescent="0.3">
      <c r="E3251" s="2"/>
    </row>
    <row r="3252" spans="5:5" x14ac:dyDescent="0.3">
      <c r="E3252" s="2"/>
    </row>
    <row r="3253" spans="5:5" x14ac:dyDescent="0.3">
      <c r="E3253" s="2"/>
    </row>
    <row r="3254" spans="5:5" x14ac:dyDescent="0.3">
      <c r="E3254" s="2"/>
    </row>
    <row r="3255" spans="5:5" x14ac:dyDescent="0.3">
      <c r="E3255" s="2"/>
    </row>
    <row r="3256" spans="5:5" x14ac:dyDescent="0.3">
      <c r="E3256" s="2"/>
    </row>
    <row r="3257" spans="5:5" x14ac:dyDescent="0.3">
      <c r="E3257" s="2"/>
    </row>
    <row r="3258" spans="5:5" x14ac:dyDescent="0.3">
      <c r="E3258" s="2"/>
    </row>
    <row r="3259" spans="5:5" x14ac:dyDescent="0.3">
      <c r="E3259" s="2"/>
    </row>
    <row r="3260" spans="5:5" x14ac:dyDescent="0.3">
      <c r="E3260" s="2"/>
    </row>
    <row r="3261" spans="5:5" x14ac:dyDescent="0.3">
      <c r="E3261" s="2"/>
    </row>
    <row r="3262" spans="5:5" x14ac:dyDescent="0.3">
      <c r="E3262" s="2"/>
    </row>
    <row r="3263" spans="5:5" x14ac:dyDescent="0.3">
      <c r="E3263" s="2"/>
    </row>
    <row r="3264" spans="5:5" x14ac:dyDescent="0.3">
      <c r="E3264" s="2"/>
    </row>
    <row r="3265" spans="5:5" x14ac:dyDescent="0.3">
      <c r="E3265" s="2"/>
    </row>
    <row r="3266" spans="5:5" x14ac:dyDescent="0.3">
      <c r="E3266" s="2"/>
    </row>
    <row r="3267" spans="5:5" x14ac:dyDescent="0.3">
      <c r="E3267" s="2"/>
    </row>
    <row r="3268" spans="5:5" x14ac:dyDescent="0.3">
      <c r="E3268" s="2"/>
    </row>
    <row r="3269" spans="5:5" x14ac:dyDescent="0.3">
      <c r="E3269" s="2"/>
    </row>
    <row r="3270" spans="5:5" x14ac:dyDescent="0.3">
      <c r="E3270" s="2"/>
    </row>
    <row r="3271" spans="5:5" x14ac:dyDescent="0.3">
      <c r="E3271" s="2"/>
    </row>
    <row r="3272" spans="5:5" x14ac:dyDescent="0.3">
      <c r="E3272" s="2"/>
    </row>
    <row r="3273" spans="5:5" x14ac:dyDescent="0.3">
      <c r="E3273" s="2"/>
    </row>
    <row r="3274" spans="5:5" x14ac:dyDescent="0.3">
      <c r="E3274" s="2"/>
    </row>
    <row r="3275" spans="5:5" x14ac:dyDescent="0.3">
      <c r="E3275" s="2"/>
    </row>
    <row r="3276" spans="5:5" x14ac:dyDescent="0.3">
      <c r="E3276" s="2"/>
    </row>
    <row r="3277" spans="5:5" x14ac:dyDescent="0.3">
      <c r="E3277" s="2"/>
    </row>
    <row r="3278" spans="5:5" x14ac:dyDescent="0.3">
      <c r="E3278" s="2"/>
    </row>
    <row r="3279" spans="5:5" x14ac:dyDescent="0.3">
      <c r="E3279" s="2"/>
    </row>
    <row r="3280" spans="5:5" x14ac:dyDescent="0.3">
      <c r="E3280" s="2"/>
    </row>
    <row r="3281" spans="5:5" x14ac:dyDescent="0.3">
      <c r="E3281" s="2"/>
    </row>
    <row r="3282" spans="5:5" x14ac:dyDescent="0.3">
      <c r="E3282" s="2"/>
    </row>
    <row r="3283" spans="5:5" x14ac:dyDescent="0.3">
      <c r="E3283" s="2"/>
    </row>
    <row r="3284" spans="5:5" x14ac:dyDescent="0.3">
      <c r="E3284" s="2"/>
    </row>
    <row r="3285" spans="5:5" x14ac:dyDescent="0.3">
      <c r="E3285" s="2"/>
    </row>
    <row r="3286" spans="5:5" x14ac:dyDescent="0.3">
      <c r="E3286" s="2"/>
    </row>
    <row r="3287" spans="5:5" x14ac:dyDescent="0.3">
      <c r="E3287" s="2"/>
    </row>
    <row r="3288" spans="5:5" x14ac:dyDescent="0.3">
      <c r="E3288" s="2"/>
    </row>
    <row r="3289" spans="5:5" x14ac:dyDescent="0.3">
      <c r="E3289" s="2"/>
    </row>
    <row r="3290" spans="5:5" x14ac:dyDescent="0.3">
      <c r="E3290" s="2"/>
    </row>
    <row r="3291" spans="5:5" x14ac:dyDescent="0.3">
      <c r="E3291" s="2"/>
    </row>
    <row r="3292" spans="5:5" x14ac:dyDescent="0.3">
      <c r="E3292" s="2"/>
    </row>
    <row r="3293" spans="5:5" x14ac:dyDescent="0.3">
      <c r="E3293" s="2"/>
    </row>
    <row r="3294" spans="5:5" x14ac:dyDescent="0.3">
      <c r="E3294" s="2"/>
    </row>
    <row r="3295" spans="5:5" x14ac:dyDescent="0.3">
      <c r="E3295" s="2"/>
    </row>
    <row r="3296" spans="5:5" x14ac:dyDescent="0.3">
      <c r="E3296" s="2"/>
    </row>
    <row r="3297" spans="5:5" x14ac:dyDescent="0.3">
      <c r="E3297" s="2"/>
    </row>
    <row r="3298" spans="5:5" x14ac:dyDescent="0.3">
      <c r="E3298" s="2"/>
    </row>
    <row r="3299" spans="5:5" x14ac:dyDescent="0.3">
      <c r="E3299" s="2"/>
    </row>
    <row r="3300" spans="5:5" x14ac:dyDescent="0.3">
      <c r="E3300" s="2"/>
    </row>
    <row r="3301" spans="5:5" x14ac:dyDescent="0.3">
      <c r="E3301" s="2"/>
    </row>
    <row r="3302" spans="5:5" x14ac:dyDescent="0.3">
      <c r="E3302" s="2"/>
    </row>
    <row r="3303" spans="5:5" x14ac:dyDescent="0.3">
      <c r="E3303" s="2"/>
    </row>
    <row r="3304" spans="5:5" x14ac:dyDescent="0.3">
      <c r="E3304" s="2"/>
    </row>
    <row r="3305" spans="5:5" x14ac:dyDescent="0.3">
      <c r="E3305" s="2"/>
    </row>
    <row r="3306" spans="5:5" x14ac:dyDescent="0.3">
      <c r="E3306" s="2"/>
    </row>
    <row r="3307" spans="5:5" x14ac:dyDescent="0.3">
      <c r="E3307" s="2"/>
    </row>
    <row r="3308" spans="5:5" x14ac:dyDescent="0.3">
      <c r="E3308" s="2"/>
    </row>
    <row r="3309" spans="5:5" x14ac:dyDescent="0.3">
      <c r="E3309" s="2"/>
    </row>
    <row r="3310" spans="5:5" x14ac:dyDescent="0.3">
      <c r="E3310" s="2"/>
    </row>
    <row r="3311" spans="5:5" x14ac:dyDescent="0.3">
      <c r="E3311" s="2"/>
    </row>
    <row r="3312" spans="5:5" x14ac:dyDescent="0.3">
      <c r="E3312" s="2"/>
    </row>
    <row r="3313" spans="5:5" x14ac:dyDescent="0.3">
      <c r="E3313" s="2"/>
    </row>
    <row r="3314" spans="5:5" x14ac:dyDescent="0.3">
      <c r="E3314" s="2"/>
    </row>
    <row r="3315" spans="5:5" x14ac:dyDescent="0.3">
      <c r="E3315" s="2"/>
    </row>
    <row r="3316" spans="5:5" x14ac:dyDescent="0.3">
      <c r="E3316" s="2"/>
    </row>
    <row r="3317" spans="5:5" x14ac:dyDescent="0.3">
      <c r="E3317" s="2"/>
    </row>
    <row r="3318" spans="5:5" x14ac:dyDescent="0.3">
      <c r="E3318" s="2"/>
    </row>
    <row r="3319" spans="5:5" x14ac:dyDescent="0.3">
      <c r="E3319" s="2"/>
    </row>
    <row r="3320" spans="5:5" x14ac:dyDescent="0.3">
      <c r="E3320" s="2"/>
    </row>
    <row r="3321" spans="5:5" x14ac:dyDescent="0.3">
      <c r="E3321" s="2"/>
    </row>
    <row r="3322" spans="5:5" x14ac:dyDescent="0.3">
      <c r="E3322" s="2"/>
    </row>
    <row r="3323" spans="5:5" x14ac:dyDescent="0.3">
      <c r="E3323" s="2"/>
    </row>
    <row r="3324" spans="5:5" x14ac:dyDescent="0.3">
      <c r="E3324" s="2"/>
    </row>
    <row r="3325" spans="5:5" x14ac:dyDescent="0.3">
      <c r="E3325" s="2"/>
    </row>
    <row r="3326" spans="5:5" x14ac:dyDescent="0.3">
      <c r="E3326" s="2"/>
    </row>
    <row r="3327" spans="5:5" x14ac:dyDescent="0.3">
      <c r="E3327" s="2"/>
    </row>
    <row r="3328" spans="5:5" x14ac:dyDescent="0.3">
      <c r="E3328" s="2"/>
    </row>
    <row r="3329" spans="5:5" x14ac:dyDescent="0.3">
      <c r="E3329" s="2"/>
    </row>
    <row r="3330" spans="5:5" x14ac:dyDescent="0.3">
      <c r="E3330" s="2"/>
    </row>
    <row r="3331" spans="5:5" x14ac:dyDescent="0.3">
      <c r="E3331" s="2"/>
    </row>
    <row r="3332" spans="5:5" x14ac:dyDescent="0.3">
      <c r="E3332" s="2"/>
    </row>
    <row r="3333" spans="5:5" x14ac:dyDescent="0.3">
      <c r="E3333" s="2"/>
    </row>
    <row r="3334" spans="5:5" x14ac:dyDescent="0.3">
      <c r="E3334" s="2"/>
    </row>
    <row r="3335" spans="5:5" x14ac:dyDescent="0.3">
      <c r="E3335" s="2"/>
    </row>
    <row r="3336" spans="5:5" x14ac:dyDescent="0.3">
      <c r="E3336" s="2"/>
    </row>
    <row r="3337" spans="5:5" x14ac:dyDescent="0.3">
      <c r="E3337" s="2"/>
    </row>
    <row r="3338" spans="5:5" x14ac:dyDescent="0.3">
      <c r="E3338" s="2"/>
    </row>
    <row r="3339" spans="5:5" x14ac:dyDescent="0.3">
      <c r="E3339" s="2"/>
    </row>
    <row r="3340" spans="5:5" x14ac:dyDescent="0.3">
      <c r="E3340" s="2"/>
    </row>
    <row r="3341" spans="5:5" x14ac:dyDescent="0.3">
      <c r="E3341" s="2"/>
    </row>
    <row r="3342" spans="5:5" x14ac:dyDescent="0.3">
      <c r="E3342" s="2"/>
    </row>
    <row r="3343" spans="5:5" x14ac:dyDescent="0.3">
      <c r="E3343" s="2"/>
    </row>
    <row r="3344" spans="5:5" x14ac:dyDescent="0.3">
      <c r="E3344" s="2"/>
    </row>
    <row r="3345" spans="5:5" x14ac:dyDescent="0.3">
      <c r="E3345" s="2"/>
    </row>
    <row r="3346" spans="5:5" x14ac:dyDescent="0.3">
      <c r="E3346" s="2"/>
    </row>
    <row r="3347" spans="5:5" x14ac:dyDescent="0.3">
      <c r="E3347" s="2"/>
    </row>
    <row r="3348" spans="5:5" x14ac:dyDescent="0.3">
      <c r="E3348" s="2"/>
    </row>
    <row r="3349" spans="5:5" x14ac:dyDescent="0.3">
      <c r="E3349" s="2"/>
    </row>
    <row r="3350" spans="5:5" x14ac:dyDescent="0.3">
      <c r="E3350" s="2"/>
    </row>
    <row r="3351" spans="5:5" x14ac:dyDescent="0.3">
      <c r="E3351" s="2"/>
    </row>
    <row r="3352" spans="5:5" x14ac:dyDescent="0.3">
      <c r="E3352" s="2"/>
    </row>
    <row r="3353" spans="5:5" x14ac:dyDescent="0.3">
      <c r="E3353" s="2"/>
    </row>
    <row r="3354" spans="5:5" x14ac:dyDescent="0.3">
      <c r="E3354" s="2"/>
    </row>
    <row r="3355" spans="5:5" x14ac:dyDescent="0.3">
      <c r="E3355" s="2"/>
    </row>
    <row r="3356" spans="5:5" x14ac:dyDescent="0.3">
      <c r="E3356" s="2"/>
    </row>
    <row r="3357" spans="5:5" x14ac:dyDescent="0.3">
      <c r="E3357" s="2"/>
    </row>
    <row r="3358" spans="5:5" x14ac:dyDescent="0.3">
      <c r="E3358" s="2"/>
    </row>
    <row r="3359" spans="5:5" x14ac:dyDescent="0.3">
      <c r="E3359" s="2"/>
    </row>
    <row r="3360" spans="5:5" x14ac:dyDescent="0.3">
      <c r="E3360" s="2"/>
    </row>
    <row r="3361" spans="5:5" x14ac:dyDescent="0.3">
      <c r="E3361" s="2"/>
    </row>
    <row r="3362" spans="5:5" x14ac:dyDescent="0.3">
      <c r="E3362" s="2"/>
    </row>
    <row r="3363" spans="5:5" x14ac:dyDescent="0.3">
      <c r="E3363" s="2"/>
    </row>
    <row r="3364" spans="5:5" x14ac:dyDescent="0.3">
      <c r="E3364" s="2"/>
    </row>
    <row r="3365" spans="5:5" x14ac:dyDescent="0.3">
      <c r="E3365" s="2"/>
    </row>
    <row r="3366" spans="5:5" x14ac:dyDescent="0.3">
      <c r="E3366" s="2"/>
    </row>
    <row r="3367" spans="5:5" x14ac:dyDescent="0.3">
      <c r="E3367" s="2"/>
    </row>
    <row r="3368" spans="5:5" x14ac:dyDescent="0.3">
      <c r="E3368" s="2"/>
    </row>
    <row r="3369" spans="5:5" x14ac:dyDescent="0.3">
      <c r="E3369" s="2"/>
    </row>
    <row r="3370" spans="5:5" x14ac:dyDescent="0.3">
      <c r="E3370" s="2"/>
    </row>
    <row r="3371" spans="5:5" x14ac:dyDescent="0.3">
      <c r="E3371" s="2"/>
    </row>
    <row r="3372" spans="5:5" x14ac:dyDescent="0.3">
      <c r="E3372" s="2"/>
    </row>
    <row r="3373" spans="5:5" x14ac:dyDescent="0.3">
      <c r="E3373" s="2"/>
    </row>
    <row r="3374" spans="5:5" x14ac:dyDescent="0.3">
      <c r="E3374" s="2"/>
    </row>
    <row r="3375" spans="5:5" x14ac:dyDescent="0.3">
      <c r="E3375" s="2"/>
    </row>
    <row r="3376" spans="5:5" x14ac:dyDescent="0.3">
      <c r="E3376" s="2"/>
    </row>
    <row r="3377" spans="5:5" x14ac:dyDescent="0.3">
      <c r="E3377" s="2"/>
    </row>
    <row r="3378" spans="5:5" x14ac:dyDescent="0.3">
      <c r="E3378" s="2"/>
    </row>
    <row r="3379" spans="5:5" x14ac:dyDescent="0.3">
      <c r="E3379" s="2"/>
    </row>
    <row r="3380" spans="5:5" x14ac:dyDescent="0.3">
      <c r="E3380" s="2"/>
    </row>
    <row r="3381" spans="5:5" x14ac:dyDescent="0.3">
      <c r="E3381" s="2"/>
    </row>
    <row r="3382" spans="5:5" x14ac:dyDescent="0.3">
      <c r="E3382" s="2"/>
    </row>
    <row r="3383" spans="5:5" x14ac:dyDescent="0.3">
      <c r="E3383" s="2"/>
    </row>
    <row r="3384" spans="5:5" x14ac:dyDescent="0.3">
      <c r="E3384" s="2"/>
    </row>
    <row r="3385" spans="5:5" x14ac:dyDescent="0.3">
      <c r="E3385" s="2"/>
    </row>
    <row r="3386" spans="5:5" x14ac:dyDescent="0.3">
      <c r="E3386" s="2"/>
    </row>
    <row r="3387" spans="5:5" x14ac:dyDescent="0.3">
      <c r="E3387" s="2"/>
    </row>
    <row r="3388" spans="5:5" x14ac:dyDescent="0.3">
      <c r="E3388" s="2"/>
    </row>
    <row r="3389" spans="5:5" x14ac:dyDescent="0.3">
      <c r="E3389" s="2"/>
    </row>
    <row r="3390" spans="5:5" x14ac:dyDescent="0.3">
      <c r="E3390" s="2"/>
    </row>
    <row r="3391" spans="5:5" x14ac:dyDescent="0.3">
      <c r="E3391" s="2"/>
    </row>
    <row r="3392" spans="5:5" x14ac:dyDescent="0.3">
      <c r="E3392" s="2"/>
    </row>
    <row r="3393" spans="5:5" x14ac:dyDescent="0.3">
      <c r="E3393" s="2"/>
    </row>
    <row r="3394" spans="5:5" x14ac:dyDescent="0.3">
      <c r="E3394" s="2"/>
    </row>
    <row r="3395" spans="5:5" x14ac:dyDescent="0.3">
      <c r="E3395" s="2"/>
    </row>
    <row r="3396" spans="5:5" x14ac:dyDescent="0.3">
      <c r="E3396" s="2"/>
    </row>
    <row r="3397" spans="5:5" x14ac:dyDescent="0.3">
      <c r="E3397" s="2"/>
    </row>
    <row r="3398" spans="5:5" x14ac:dyDescent="0.3">
      <c r="E3398" s="2"/>
    </row>
    <row r="3399" spans="5:5" x14ac:dyDescent="0.3">
      <c r="E3399" s="2"/>
    </row>
    <row r="3400" spans="5:5" x14ac:dyDescent="0.3">
      <c r="E3400" s="2"/>
    </row>
    <row r="3401" spans="5:5" x14ac:dyDescent="0.3">
      <c r="E3401" s="2"/>
    </row>
    <row r="3402" spans="5:5" x14ac:dyDescent="0.3">
      <c r="E3402" s="2"/>
    </row>
    <row r="3403" spans="5:5" x14ac:dyDescent="0.3">
      <c r="E3403" s="2"/>
    </row>
    <row r="3404" spans="5:5" x14ac:dyDescent="0.3">
      <c r="E3404" s="2"/>
    </row>
    <row r="3405" spans="5:5" x14ac:dyDescent="0.3">
      <c r="E3405" s="2"/>
    </row>
    <row r="3406" spans="5:5" x14ac:dyDescent="0.3">
      <c r="E3406" s="2"/>
    </row>
    <row r="3407" spans="5:5" x14ac:dyDescent="0.3">
      <c r="E3407" s="2"/>
    </row>
    <row r="3408" spans="5:5" x14ac:dyDescent="0.3">
      <c r="E3408" s="2"/>
    </row>
    <row r="3409" spans="5:5" x14ac:dyDescent="0.3">
      <c r="E3409" s="2"/>
    </row>
    <row r="3410" spans="5:5" x14ac:dyDescent="0.3">
      <c r="E3410" s="2"/>
    </row>
    <row r="3411" spans="5:5" x14ac:dyDescent="0.3">
      <c r="E3411" s="2"/>
    </row>
    <row r="3412" spans="5:5" x14ac:dyDescent="0.3">
      <c r="E3412" s="2"/>
    </row>
    <row r="3413" spans="5:5" x14ac:dyDescent="0.3">
      <c r="E3413" s="2"/>
    </row>
    <row r="3414" spans="5:5" x14ac:dyDescent="0.3">
      <c r="E3414" s="2"/>
    </row>
    <row r="3415" spans="5:5" x14ac:dyDescent="0.3">
      <c r="E3415" s="2"/>
    </row>
    <row r="3416" spans="5:5" x14ac:dyDescent="0.3">
      <c r="E3416" s="2"/>
    </row>
    <row r="3417" spans="5:5" x14ac:dyDescent="0.3">
      <c r="E3417" s="2"/>
    </row>
    <row r="3418" spans="5:5" x14ac:dyDescent="0.3">
      <c r="E3418" s="2"/>
    </row>
    <row r="3419" spans="5:5" x14ac:dyDescent="0.3">
      <c r="E3419" s="2"/>
    </row>
    <row r="3420" spans="5:5" x14ac:dyDescent="0.3">
      <c r="E3420" s="2"/>
    </row>
    <row r="3421" spans="5:5" x14ac:dyDescent="0.3">
      <c r="E3421" s="2"/>
    </row>
    <row r="3422" spans="5:5" x14ac:dyDescent="0.3">
      <c r="E3422" s="2"/>
    </row>
    <row r="3423" spans="5:5" x14ac:dyDescent="0.3">
      <c r="E3423" s="2"/>
    </row>
    <row r="3424" spans="5:5" x14ac:dyDescent="0.3">
      <c r="E3424" s="2"/>
    </row>
    <row r="3425" spans="5:5" x14ac:dyDescent="0.3">
      <c r="E3425" s="2"/>
    </row>
    <row r="3426" spans="5:5" x14ac:dyDescent="0.3">
      <c r="E3426" s="2"/>
    </row>
    <row r="3427" spans="5:5" x14ac:dyDescent="0.3">
      <c r="E3427" s="2"/>
    </row>
    <row r="3428" spans="5:5" x14ac:dyDescent="0.3">
      <c r="E3428" s="2"/>
    </row>
    <row r="3429" spans="5:5" x14ac:dyDescent="0.3">
      <c r="E3429" s="2"/>
    </row>
    <row r="3430" spans="5:5" x14ac:dyDescent="0.3">
      <c r="E3430" s="2"/>
    </row>
    <row r="3431" spans="5:5" x14ac:dyDescent="0.3">
      <c r="E3431" s="2"/>
    </row>
    <row r="3432" spans="5:5" x14ac:dyDescent="0.3">
      <c r="E3432" s="2"/>
    </row>
    <row r="3433" spans="5:5" x14ac:dyDescent="0.3">
      <c r="E3433" s="2"/>
    </row>
    <row r="3434" spans="5:5" x14ac:dyDescent="0.3">
      <c r="E3434" s="2"/>
    </row>
    <row r="3435" spans="5:5" x14ac:dyDescent="0.3">
      <c r="E3435" s="2"/>
    </row>
    <row r="3436" spans="5:5" x14ac:dyDescent="0.3">
      <c r="E3436" s="2"/>
    </row>
    <row r="3437" spans="5:5" x14ac:dyDescent="0.3">
      <c r="E3437" s="2"/>
    </row>
    <row r="3438" spans="5:5" x14ac:dyDescent="0.3">
      <c r="E3438" s="2"/>
    </row>
    <row r="3439" spans="5:5" x14ac:dyDescent="0.3">
      <c r="E3439" s="2"/>
    </row>
    <row r="3440" spans="5:5" x14ac:dyDescent="0.3">
      <c r="E3440" s="2"/>
    </row>
    <row r="3441" spans="5:5" x14ac:dyDescent="0.3">
      <c r="E3441" s="2"/>
    </row>
    <row r="3442" spans="5:5" x14ac:dyDescent="0.3">
      <c r="E3442" s="2"/>
    </row>
    <row r="3443" spans="5:5" x14ac:dyDescent="0.3">
      <c r="E3443" s="2"/>
    </row>
    <row r="3444" spans="5:5" x14ac:dyDescent="0.3">
      <c r="E3444" s="2"/>
    </row>
    <row r="3445" spans="5:5" x14ac:dyDescent="0.3">
      <c r="E3445" s="2"/>
    </row>
    <row r="3446" spans="5:5" x14ac:dyDescent="0.3">
      <c r="E3446" s="2"/>
    </row>
    <row r="3447" spans="5:5" x14ac:dyDescent="0.3">
      <c r="E3447" s="2"/>
    </row>
    <row r="3448" spans="5:5" x14ac:dyDescent="0.3">
      <c r="E3448" s="2"/>
    </row>
    <row r="3449" spans="5:5" x14ac:dyDescent="0.3">
      <c r="E3449" s="2"/>
    </row>
    <row r="3450" spans="5:5" x14ac:dyDescent="0.3">
      <c r="E3450" s="2"/>
    </row>
    <row r="3451" spans="5:5" x14ac:dyDescent="0.3">
      <c r="E3451" s="2"/>
    </row>
    <row r="3452" spans="5:5" x14ac:dyDescent="0.3">
      <c r="E3452" s="2"/>
    </row>
    <row r="3453" spans="5:5" x14ac:dyDescent="0.3">
      <c r="E3453" s="2"/>
    </row>
    <row r="3454" spans="5:5" x14ac:dyDescent="0.3">
      <c r="E3454" s="2"/>
    </row>
    <row r="3455" spans="5:5" x14ac:dyDescent="0.3">
      <c r="E3455" s="2"/>
    </row>
    <row r="3456" spans="5:5" x14ac:dyDescent="0.3">
      <c r="E3456" s="2"/>
    </row>
    <row r="3457" spans="5:5" x14ac:dyDescent="0.3">
      <c r="E3457" s="2"/>
    </row>
    <row r="3458" spans="5:5" x14ac:dyDescent="0.3">
      <c r="E3458" s="2"/>
    </row>
    <row r="3459" spans="5:5" x14ac:dyDescent="0.3">
      <c r="E3459" s="2"/>
    </row>
    <row r="3460" spans="5:5" x14ac:dyDescent="0.3">
      <c r="E3460" s="2"/>
    </row>
    <row r="3461" spans="5:5" x14ac:dyDescent="0.3">
      <c r="E3461" s="2"/>
    </row>
    <row r="3462" spans="5:5" x14ac:dyDescent="0.3">
      <c r="E3462" s="2"/>
    </row>
    <row r="3463" spans="5:5" x14ac:dyDescent="0.3">
      <c r="E3463" s="2"/>
    </row>
    <row r="3464" spans="5:5" x14ac:dyDescent="0.3">
      <c r="E3464" s="2"/>
    </row>
    <row r="3465" spans="5:5" x14ac:dyDescent="0.3">
      <c r="E3465" s="2"/>
    </row>
    <row r="3466" spans="5:5" x14ac:dyDescent="0.3">
      <c r="E3466" s="2"/>
    </row>
    <row r="3467" spans="5:5" x14ac:dyDescent="0.3">
      <c r="E3467" s="2"/>
    </row>
    <row r="3468" spans="5:5" x14ac:dyDescent="0.3">
      <c r="E3468" s="2"/>
    </row>
    <row r="3469" spans="5:5" x14ac:dyDescent="0.3">
      <c r="E3469" s="2"/>
    </row>
    <row r="3470" spans="5:5" x14ac:dyDescent="0.3">
      <c r="E3470" s="2"/>
    </row>
    <row r="3471" spans="5:5" x14ac:dyDescent="0.3">
      <c r="E3471" s="2"/>
    </row>
    <row r="3472" spans="5:5" x14ac:dyDescent="0.3">
      <c r="E3472" s="2"/>
    </row>
    <row r="3473" spans="5:5" x14ac:dyDescent="0.3">
      <c r="E3473" s="2"/>
    </row>
    <row r="3474" spans="5:5" x14ac:dyDescent="0.3">
      <c r="E3474" s="2"/>
    </row>
    <row r="3475" spans="5:5" x14ac:dyDescent="0.3">
      <c r="E3475" s="2"/>
    </row>
    <row r="3476" spans="5:5" x14ac:dyDescent="0.3">
      <c r="E3476" s="2"/>
    </row>
    <row r="3477" spans="5:5" x14ac:dyDescent="0.3">
      <c r="E3477" s="2"/>
    </row>
    <row r="3478" spans="5:5" x14ac:dyDescent="0.3">
      <c r="E3478" s="2"/>
    </row>
    <row r="3479" spans="5:5" x14ac:dyDescent="0.3">
      <c r="E3479" s="2"/>
    </row>
    <row r="3480" spans="5:5" x14ac:dyDescent="0.3">
      <c r="E3480" s="2"/>
    </row>
    <row r="3481" spans="5:5" x14ac:dyDescent="0.3">
      <c r="E3481" s="2"/>
    </row>
    <row r="3482" spans="5:5" x14ac:dyDescent="0.3">
      <c r="E3482" s="2"/>
    </row>
    <row r="3483" spans="5:5" x14ac:dyDescent="0.3">
      <c r="E3483" s="2"/>
    </row>
    <row r="3484" spans="5:5" x14ac:dyDescent="0.3">
      <c r="E3484" s="2"/>
    </row>
    <row r="3485" spans="5:5" x14ac:dyDescent="0.3">
      <c r="E3485" s="2"/>
    </row>
    <row r="3486" spans="5:5" x14ac:dyDescent="0.3">
      <c r="E3486" s="2"/>
    </row>
    <row r="3487" spans="5:5" x14ac:dyDescent="0.3">
      <c r="E3487" s="2"/>
    </row>
    <row r="3488" spans="5:5" x14ac:dyDescent="0.3">
      <c r="E3488" s="2"/>
    </row>
    <row r="3489" spans="5:5" x14ac:dyDescent="0.3">
      <c r="E3489" s="2"/>
    </row>
    <row r="3490" spans="5:5" x14ac:dyDescent="0.3">
      <c r="E3490" s="2"/>
    </row>
    <row r="3491" spans="5:5" x14ac:dyDescent="0.3">
      <c r="E3491" s="2"/>
    </row>
    <row r="3492" spans="5:5" x14ac:dyDescent="0.3">
      <c r="E3492" s="2"/>
    </row>
    <row r="3493" spans="5:5" x14ac:dyDescent="0.3">
      <c r="E3493" s="2"/>
    </row>
    <row r="3494" spans="5:5" x14ac:dyDescent="0.3">
      <c r="E3494" s="2"/>
    </row>
    <row r="3495" spans="5:5" x14ac:dyDescent="0.3">
      <c r="E3495" s="2"/>
    </row>
    <row r="3496" spans="5:5" x14ac:dyDescent="0.3">
      <c r="E3496" s="2"/>
    </row>
    <row r="3497" spans="5:5" x14ac:dyDescent="0.3">
      <c r="E3497" s="2"/>
    </row>
    <row r="3498" spans="5:5" x14ac:dyDescent="0.3">
      <c r="E3498" s="2"/>
    </row>
    <row r="3499" spans="5:5" x14ac:dyDescent="0.3">
      <c r="E3499" s="2"/>
    </row>
    <row r="3500" spans="5:5" x14ac:dyDescent="0.3">
      <c r="E3500" s="2"/>
    </row>
    <row r="3501" spans="5:5" x14ac:dyDescent="0.3">
      <c r="E3501" s="2"/>
    </row>
    <row r="3502" spans="5:5" x14ac:dyDescent="0.3">
      <c r="E3502" s="2"/>
    </row>
    <row r="3503" spans="5:5" x14ac:dyDescent="0.3">
      <c r="E3503" s="2"/>
    </row>
    <row r="3504" spans="5:5" x14ac:dyDescent="0.3">
      <c r="E3504" s="2"/>
    </row>
    <row r="3505" spans="5:5" x14ac:dyDescent="0.3">
      <c r="E3505" s="2"/>
    </row>
    <row r="3506" spans="5:5" x14ac:dyDescent="0.3">
      <c r="E3506" s="2"/>
    </row>
    <row r="3507" spans="5:5" x14ac:dyDescent="0.3">
      <c r="E3507" s="2"/>
    </row>
    <row r="3508" spans="5:5" x14ac:dyDescent="0.3">
      <c r="E3508" s="2"/>
    </row>
    <row r="3509" spans="5:5" x14ac:dyDescent="0.3">
      <c r="E3509" s="2"/>
    </row>
    <row r="3510" spans="5:5" x14ac:dyDescent="0.3">
      <c r="E3510" s="2"/>
    </row>
    <row r="3511" spans="5:5" x14ac:dyDescent="0.3">
      <c r="E3511" s="2"/>
    </row>
    <row r="3512" spans="5:5" x14ac:dyDescent="0.3">
      <c r="E3512" s="2"/>
    </row>
    <row r="3513" spans="5:5" x14ac:dyDescent="0.3">
      <c r="E3513" s="2"/>
    </row>
    <row r="3514" spans="5:5" x14ac:dyDescent="0.3">
      <c r="E3514" s="2"/>
    </row>
    <row r="3515" spans="5:5" x14ac:dyDescent="0.3">
      <c r="E3515" s="2"/>
    </row>
    <row r="3516" spans="5:5" x14ac:dyDescent="0.3">
      <c r="E3516" s="2"/>
    </row>
    <row r="3517" spans="5:5" x14ac:dyDescent="0.3">
      <c r="E3517" s="2"/>
    </row>
    <row r="3518" spans="5:5" x14ac:dyDescent="0.3">
      <c r="E3518" s="2"/>
    </row>
    <row r="3519" spans="5:5" x14ac:dyDescent="0.3">
      <c r="E3519" s="2"/>
    </row>
    <row r="3520" spans="5:5" x14ac:dyDescent="0.3">
      <c r="E3520" s="2"/>
    </row>
    <row r="3521" spans="5:5" x14ac:dyDescent="0.3">
      <c r="E3521" s="2"/>
    </row>
    <row r="3522" spans="5:5" x14ac:dyDescent="0.3">
      <c r="E3522" s="2"/>
    </row>
    <row r="3523" spans="5:5" x14ac:dyDescent="0.3">
      <c r="E3523" s="2"/>
    </row>
    <row r="3524" spans="5:5" x14ac:dyDescent="0.3">
      <c r="E3524" s="2"/>
    </row>
    <row r="3525" spans="5:5" x14ac:dyDescent="0.3">
      <c r="E3525" s="2"/>
    </row>
    <row r="3526" spans="5:5" x14ac:dyDescent="0.3">
      <c r="E3526" s="2"/>
    </row>
    <row r="3527" spans="5:5" x14ac:dyDescent="0.3">
      <c r="E3527" s="2"/>
    </row>
    <row r="3528" spans="5:5" x14ac:dyDescent="0.3">
      <c r="E3528" s="2"/>
    </row>
    <row r="3529" spans="5:5" x14ac:dyDescent="0.3">
      <c r="E3529" s="2"/>
    </row>
    <row r="3530" spans="5:5" x14ac:dyDescent="0.3">
      <c r="E3530" s="2"/>
    </row>
    <row r="3531" spans="5:5" x14ac:dyDescent="0.3">
      <c r="E3531" s="2"/>
    </row>
    <row r="3532" spans="5:5" x14ac:dyDescent="0.3">
      <c r="E3532" s="2"/>
    </row>
    <row r="3533" spans="5:5" x14ac:dyDescent="0.3">
      <c r="E3533" s="2"/>
    </row>
    <row r="3534" spans="5:5" x14ac:dyDescent="0.3">
      <c r="E3534" s="2"/>
    </row>
    <row r="3535" spans="5:5" x14ac:dyDescent="0.3">
      <c r="E3535" s="2"/>
    </row>
    <row r="3536" spans="5:5" x14ac:dyDescent="0.3">
      <c r="E3536" s="2"/>
    </row>
    <row r="3537" spans="5:5" x14ac:dyDescent="0.3">
      <c r="E3537" s="2"/>
    </row>
    <row r="3538" spans="5:5" x14ac:dyDescent="0.3">
      <c r="E3538" s="2"/>
    </row>
    <row r="3539" spans="5:5" x14ac:dyDescent="0.3">
      <c r="E3539" s="2"/>
    </row>
    <row r="3540" spans="5:5" x14ac:dyDescent="0.3">
      <c r="E3540" s="2"/>
    </row>
    <row r="3541" spans="5:5" x14ac:dyDescent="0.3">
      <c r="E3541" s="2"/>
    </row>
    <row r="3542" spans="5:5" x14ac:dyDescent="0.3">
      <c r="E3542" s="2"/>
    </row>
    <row r="3543" spans="5:5" x14ac:dyDescent="0.3">
      <c r="E3543" s="2"/>
    </row>
    <row r="3544" spans="5:5" x14ac:dyDescent="0.3">
      <c r="E3544" s="2"/>
    </row>
    <row r="3545" spans="5:5" x14ac:dyDescent="0.3">
      <c r="E3545" s="2"/>
    </row>
    <row r="3546" spans="5:5" x14ac:dyDescent="0.3">
      <c r="E3546" s="2"/>
    </row>
    <row r="3547" spans="5:5" x14ac:dyDescent="0.3">
      <c r="E3547" s="2"/>
    </row>
    <row r="3548" spans="5:5" x14ac:dyDescent="0.3">
      <c r="E3548" s="2"/>
    </row>
    <row r="3549" spans="5:5" x14ac:dyDescent="0.3">
      <c r="E3549" s="2"/>
    </row>
    <row r="3550" spans="5:5" x14ac:dyDescent="0.3">
      <c r="E3550" s="2"/>
    </row>
    <row r="3551" spans="5:5" x14ac:dyDescent="0.3">
      <c r="E3551" s="2"/>
    </row>
    <row r="3552" spans="5:5" x14ac:dyDescent="0.3">
      <c r="E3552" s="2"/>
    </row>
    <row r="3553" spans="5:5" x14ac:dyDescent="0.3">
      <c r="E3553" s="2"/>
    </row>
    <row r="3554" spans="5:5" x14ac:dyDescent="0.3">
      <c r="E3554" s="2"/>
    </row>
    <row r="3555" spans="5:5" x14ac:dyDescent="0.3">
      <c r="E3555" s="2"/>
    </row>
    <row r="3556" spans="5:5" x14ac:dyDescent="0.3">
      <c r="E3556" s="2"/>
    </row>
    <row r="3557" spans="5:5" x14ac:dyDescent="0.3">
      <c r="E3557" s="2"/>
    </row>
    <row r="3558" spans="5:5" x14ac:dyDescent="0.3">
      <c r="E3558" s="2"/>
    </row>
    <row r="3559" spans="5:5" x14ac:dyDescent="0.3">
      <c r="E3559" s="2"/>
    </row>
    <row r="3560" spans="5:5" x14ac:dyDescent="0.3">
      <c r="E3560" s="2"/>
    </row>
    <row r="3561" spans="5:5" x14ac:dyDescent="0.3">
      <c r="E3561" s="2"/>
    </row>
    <row r="3562" spans="5:5" x14ac:dyDescent="0.3">
      <c r="E3562" s="2"/>
    </row>
    <row r="3563" spans="5:5" x14ac:dyDescent="0.3">
      <c r="E3563" s="2"/>
    </row>
    <row r="3564" spans="5:5" x14ac:dyDescent="0.3">
      <c r="E3564" s="2"/>
    </row>
    <row r="3565" spans="5:5" x14ac:dyDescent="0.3">
      <c r="E3565" s="2"/>
    </row>
    <row r="3566" spans="5:5" x14ac:dyDescent="0.3">
      <c r="E3566" s="2"/>
    </row>
    <row r="3567" spans="5:5" x14ac:dyDescent="0.3">
      <c r="E3567" s="2"/>
    </row>
    <row r="3568" spans="5:5" x14ac:dyDescent="0.3">
      <c r="E3568" s="2"/>
    </row>
    <row r="3569" spans="5:5" x14ac:dyDescent="0.3">
      <c r="E3569" s="2"/>
    </row>
    <row r="3570" spans="5:5" x14ac:dyDescent="0.3">
      <c r="E3570" s="2"/>
    </row>
    <row r="3571" spans="5:5" x14ac:dyDescent="0.3">
      <c r="E3571" s="2"/>
    </row>
    <row r="3572" spans="5:5" x14ac:dyDescent="0.3">
      <c r="E3572" s="2"/>
    </row>
    <row r="3573" spans="5:5" x14ac:dyDescent="0.3">
      <c r="E3573" s="2"/>
    </row>
    <row r="3574" spans="5:5" x14ac:dyDescent="0.3">
      <c r="E3574" s="2"/>
    </row>
    <row r="3575" spans="5:5" x14ac:dyDescent="0.3">
      <c r="E3575" s="2"/>
    </row>
    <row r="3576" spans="5:5" x14ac:dyDescent="0.3">
      <c r="E3576" s="2"/>
    </row>
    <row r="3577" spans="5:5" x14ac:dyDescent="0.3">
      <c r="E3577" s="2"/>
    </row>
    <row r="3578" spans="5:5" x14ac:dyDescent="0.3">
      <c r="E3578" s="2"/>
    </row>
    <row r="3579" spans="5:5" x14ac:dyDescent="0.3">
      <c r="E3579" s="2"/>
    </row>
    <row r="3580" spans="5:5" x14ac:dyDescent="0.3">
      <c r="E3580" s="2"/>
    </row>
    <row r="3581" spans="5:5" x14ac:dyDescent="0.3">
      <c r="E3581" s="2"/>
    </row>
    <row r="3582" spans="5:5" x14ac:dyDescent="0.3">
      <c r="E3582" s="2"/>
    </row>
    <row r="3583" spans="5:5" x14ac:dyDescent="0.3">
      <c r="E3583" s="2"/>
    </row>
    <row r="3584" spans="5:5" x14ac:dyDescent="0.3">
      <c r="E3584" s="2"/>
    </row>
    <row r="3585" spans="5:5" x14ac:dyDescent="0.3">
      <c r="E3585" s="2"/>
    </row>
    <row r="3586" spans="5:5" x14ac:dyDescent="0.3">
      <c r="E3586" s="2"/>
    </row>
    <row r="3587" spans="5:5" x14ac:dyDescent="0.3">
      <c r="E3587" s="2"/>
    </row>
    <row r="3588" spans="5:5" x14ac:dyDescent="0.3">
      <c r="E3588" s="2"/>
    </row>
    <row r="3589" spans="5:5" x14ac:dyDescent="0.3">
      <c r="E3589" s="2"/>
    </row>
    <row r="3590" spans="5:5" x14ac:dyDescent="0.3">
      <c r="E3590" s="2"/>
    </row>
    <row r="3591" spans="5:5" x14ac:dyDescent="0.3">
      <c r="E3591" s="2"/>
    </row>
    <row r="3592" spans="5:5" x14ac:dyDescent="0.3">
      <c r="E3592" s="2"/>
    </row>
    <row r="3593" spans="5:5" x14ac:dyDescent="0.3">
      <c r="E3593" s="2"/>
    </row>
    <row r="3594" spans="5:5" x14ac:dyDescent="0.3">
      <c r="E3594" s="2"/>
    </row>
    <row r="3595" spans="5:5" x14ac:dyDescent="0.3">
      <c r="E3595" s="2"/>
    </row>
    <row r="3596" spans="5:5" x14ac:dyDescent="0.3">
      <c r="E3596" s="2"/>
    </row>
    <row r="3597" spans="5:5" x14ac:dyDescent="0.3">
      <c r="E359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0"/>
  <sheetViews>
    <sheetView workbookViewId="0">
      <pane xSplit="1" ySplit="1" topLeftCell="I30" activePane="bottomRight" state="frozen"/>
      <selection pane="topRight"/>
      <selection pane="bottomLeft"/>
      <selection pane="bottomRight" activeCell="K56" sqref="K56"/>
    </sheetView>
  </sheetViews>
  <sheetFormatPr defaultRowHeight="14.4" x14ac:dyDescent="0.3"/>
  <cols>
    <col min="1" max="1" width="19.5546875" style="6" bestFit="1" customWidth="1"/>
    <col min="2" max="2" width="13.88671875" style="6" hidden="1" customWidth="1"/>
    <col min="3" max="3" width="30.109375" style="6" hidden="1" customWidth="1"/>
    <col min="4" max="4" width="10" style="6" hidden="1" customWidth="1"/>
    <col min="5" max="5" width="13.77734375" style="6" hidden="1" customWidth="1"/>
    <col min="6" max="6" width="13.21875" style="6" hidden="1" customWidth="1"/>
    <col min="7" max="7" width="15.21875" style="6" hidden="1" customWidth="1"/>
    <col min="8" max="8" width="14.44140625" style="6" hidden="1" customWidth="1"/>
    <col min="9" max="9" width="3.5546875" style="6" customWidth="1"/>
    <col min="10" max="10" width="11.33203125" style="2" bestFit="1" customWidth="1"/>
    <col min="11" max="11" width="13.44140625" style="2" bestFit="1" customWidth="1"/>
    <col min="12" max="13" width="11.33203125" style="2" bestFit="1" customWidth="1"/>
    <col min="14" max="14" width="16.44140625" style="2" bestFit="1" customWidth="1"/>
    <col min="15" max="16" width="17" style="2" bestFit="1" customWidth="1"/>
    <col min="17" max="17" width="11.6640625" style="2" bestFit="1" customWidth="1"/>
    <col min="18" max="18" width="17" style="2" bestFit="1" customWidth="1"/>
    <col min="19" max="19" width="18.88671875" style="2" bestFit="1" customWidth="1"/>
    <col min="20" max="20" width="11.5546875" bestFit="1" customWidth="1"/>
    <col min="21" max="21" width="9.33203125" bestFit="1" customWidth="1"/>
    <col min="22" max="22" width="18" customWidth="1"/>
  </cols>
  <sheetData>
    <row r="1" spans="1:21" x14ac:dyDescent="0.3">
      <c r="A1" s="6" t="s">
        <v>13</v>
      </c>
      <c r="B1" s="6" t="s">
        <v>14</v>
      </c>
      <c r="C1" s="6" t="s">
        <v>63</v>
      </c>
      <c r="D1" s="6" t="s">
        <v>15</v>
      </c>
      <c r="E1" s="6" t="s">
        <v>307</v>
      </c>
      <c r="F1" s="6" t="s">
        <v>308</v>
      </c>
      <c r="G1" s="6" t="s">
        <v>7</v>
      </c>
      <c r="H1" s="6" t="s">
        <v>64</v>
      </c>
      <c r="I1" s="6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54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t="s">
        <v>16</v>
      </c>
      <c r="U1" t="s">
        <v>11</v>
      </c>
    </row>
    <row r="2" spans="1:21" x14ac:dyDescent="0.3">
      <c r="A2" s="6" t="s">
        <v>92</v>
      </c>
      <c r="B2" s="6">
        <v>6832</v>
      </c>
      <c r="C2" s="6" t="s">
        <v>127</v>
      </c>
      <c r="D2" s="6" t="s">
        <v>330</v>
      </c>
      <c r="E2" s="6" t="s">
        <v>309</v>
      </c>
      <c r="F2" s="6">
        <v>470</v>
      </c>
      <c r="G2" s="6" t="s">
        <v>342</v>
      </c>
      <c r="H2" s="6" t="s">
        <v>139</v>
      </c>
      <c r="I2" s="6">
        <v>45</v>
      </c>
      <c r="J2" s="3">
        <v>46082</v>
      </c>
      <c r="K2" s="3">
        <v>45323</v>
      </c>
      <c r="L2" s="3">
        <v>45717</v>
      </c>
      <c r="M2" s="3">
        <v>44986</v>
      </c>
      <c r="N2" s="3"/>
      <c r="O2" s="2">
        <f>EDATE(J2,Parametri!$D$2)</f>
        <v>47178</v>
      </c>
      <c r="P2" s="2">
        <f>EDATE(K2,Parametri!$D$3)</f>
        <v>45870</v>
      </c>
      <c r="Q2" s="2">
        <f>EDATE(L2,Parametri!$D$4)</f>
        <v>46082</v>
      </c>
      <c r="R2" s="2">
        <f>EDATE(M2,Parametri!$D$5)</f>
        <v>46082</v>
      </c>
      <c r="S2" s="2">
        <f>EDATE(N2,Parametri!$D$6)</f>
        <v>1827</v>
      </c>
      <c r="T2" t="str">
        <f t="shared" ref="T2:T32" si="0">IF(COUNTIF(O2:S2,"nu")&gt;0,"Incomplet","Complet")</f>
        <v>Complet</v>
      </c>
    </row>
    <row r="3" spans="1:21" x14ac:dyDescent="0.3">
      <c r="A3" s="6" t="s">
        <v>114</v>
      </c>
      <c r="B3" s="6">
        <v>9072</v>
      </c>
      <c r="C3" s="6" t="s">
        <v>135</v>
      </c>
      <c r="D3" s="6" t="s">
        <v>364</v>
      </c>
      <c r="E3" s="6" t="s">
        <v>324</v>
      </c>
      <c r="F3" s="6">
        <v>999</v>
      </c>
      <c r="G3" s="6" t="s">
        <v>343</v>
      </c>
      <c r="H3" s="6">
        <v>54</v>
      </c>
      <c r="I3" s="6">
        <v>46</v>
      </c>
      <c r="J3" s="3">
        <v>45231</v>
      </c>
      <c r="K3" s="3">
        <v>45597</v>
      </c>
      <c r="L3" s="3">
        <v>45352</v>
      </c>
      <c r="M3" s="3" t="s">
        <v>246</v>
      </c>
      <c r="N3" s="3">
        <v>44013</v>
      </c>
      <c r="O3" s="2">
        <f>EDATE(J3,Parametri!$D$2)</f>
        <v>46327</v>
      </c>
      <c r="P3" s="2">
        <f>EDATE(K3,Parametri!$D$3)</f>
        <v>46143</v>
      </c>
      <c r="Q3" s="2">
        <f>EDATE(L3,Parametri!$D$4)</f>
        <v>45717</v>
      </c>
      <c r="R3" s="2" t="e">
        <f>EDATE(M3,Parametri!$D$5)</f>
        <v>#VALUE!</v>
      </c>
      <c r="S3" s="2">
        <f>EDATE(N3,Parametri!$D$6)</f>
        <v>45839</v>
      </c>
      <c r="T3" t="str">
        <f t="shared" si="0"/>
        <v>Complet</v>
      </c>
    </row>
    <row r="4" spans="1:21" x14ac:dyDescent="0.3">
      <c r="A4" s="6" t="s">
        <v>85</v>
      </c>
      <c r="B4" s="6">
        <v>4394</v>
      </c>
      <c r="C4" s="6" t="s">
        <v>128</v>
      </c>
      <c r="D4" s="6" t="s">
        <v>365</v>
      </c>
      <c r="E4" s="6" t="s">
        <v>317</v>
      </c>
      <c r="F4" s="6">
        <v>23</v>
      </c>
      <c r="G4" s="6" t="s">
        <v>325</v>
      </c>
      <c r="H4" s="6">
        <v>54</v>
      </c>
      <c r="I4" s="6">
        <v>45</v>
      </c>
      <c r="J4" s="3">
        <v>46054</v>
      </c>
      <c r="K4" s="3">
        <v>45870</v>
      </c>
      <c r="L4" s="3">
        <v>45717</v>
      </c>
      <c r="M4" s="3">
        <v>44986</v>
      </c>
      <c r="N4" s="3">
        <v>45689</v>
      </c>
      <c r="O4" s="2">
        <f>EDATE(J4,Parametri!$D$2)</f>
        <v>47150</v>
      </c>
      <c r="P4" s="2">
        <f>EDATE(K4,Parametri!$D$3)</f>
        <v>46419</v>
      </c>
      <c r="Q4" s="2">
        <f>EDATE(L4,Parametri!$D$4)</f>
        <v>46082</v>
      </c>
      <c r="R4" s="2">
        <f>EDATE(M4,Parametri!$D$5)</f>
        <v>46082</v>
      </c>
      <c r="S4" s="2">
        <f>EDATE(N4,Parametri!$D$6)</f>
        <v>47515</v>
      </c>
      <c r="T4" t="str">
        <f t="shared" si="0"/>
        <v>Complet</v>
      </c>
    </row>
    <row r="5" spans="1:21" x14ac:dyDescent="0.3">
      <c r="A5" s="6" t="s">
        <v>85</v>
      </c>
      <c r="B5" s="6">
        <v>4394</v>
      </c>
      <c r="C5" s="6" t="s">
        <v>128</v>
      </c>
      <c r="D5" s="6" t="s">
        <v>365</v>
      </c>
      <c r="E5" s="6" t="s">
        <v>313</v>
      </c>
      <c r="F5" s="6">
        <v>638</v>
      </c>
      <c r="G5" s="6" t="s">
        <v>325</v>
      </c>
      <c r="H5" s="6">
        <v>54</v>
      </c>
      <c r="I5" s="6">
        <v>45</v>
      </c>
      <c r="J5" s="3">
        <f>J4</f>
        <v>46054</v>
      </c>
      <c r="K5" s="3">
        <f>K4</f>
        <v>45870</v>
      </c>
      <c r="L5" s="3">
        <f>L4</f>
        <v>45717</v>
      </c>
      <c r="M5" s="3">
        <f>M4</f>
        <v>44986</v>
      </c>
      <c r="N5" s="3">
        <f>N4</f>
        <v>45689</v>
      </c>
      <c r="O5" s="2">
        <f>EDATE(J5,Parametri!$D$2)</f>
        <v>47150</v>
      </c>
      <c r="P5" s="2">
        <f>EDATE(K5,Parametri!$D$3)</f>
        <v>46419</v>
      </c>
      <c r="Q5" s="2">
        <f>EDATE(L5,Parametri!$D$4)</f>
        <v>46082</v>
      </c>
      <c r="R5" s="2">
        <f>EDATE(M5,Parametri!$D$5)</f>
        <v>46082</v>
      </c>
      <c r="S5" s="2">
        <f>EDATE(N5,Parametri!$D$6)</f>
        <v>47515</v>
      </c>
      <c r="T5" t="str">
        <f t="shared" si="0"/>
        <v>Complet</v>
      </c>
    </row>
    <row r="6" spans="1:21" x14ac:dyDescent="0.3">
      <c r="A6" s="6" t="s">
        <v>86</v>
      </c>
      <c r="B6" s="6">
        <v>4901</v>
      </c>
      <c r="C6" s="6" t="s">
        <v>125</v>
      </c>
      <c r="D6" s="6" t="s">
        <v>331</v>
      </c>
      <c r="E6" s="6" t="s">
        <v>309</v>
      </c>
      <c r="F6" s="6">
        <v>470</v>
      </c>
      <c r="G6" s="6" t="s">
        <v>342</v>
      </c>
      <c r="H6" s="6">
        <v>66</v>
      </c>
      <c r="I6" s="6">
        <v>46</v>
      </c>
      <c r="J6" s="3">
        <v>46054</v>
      </c>
      <c r="K6" s="3">
        <v>45870</v>
      </c>
      <c r="L6" s="3">
        <v>45992</v>
      </c>
      <c r="M6" s="3">
        <v>44986</v>
      </c>
      <c r="N6" s="3"/>
      <c r="O6" s="2">
        <f>EDATE(J6,Parametri!$D$2)</f>
        <v>47150</v>
      </c>
      <c r="P6" s="2">
        <f>EDATE(K6,Parametri!$D$3)</f>
        <v>46419</v>
      </c>
      <c r="Q6" s="2">
        <f>EDATE(L6,Parametri!$D$4)</f>
        <v>46357</v>
      </c>
      <c r="R6" s="2">
        <f>EDATE(M6,Parametri!$D$5)</f>
        <v>46082</v>
      </c>
      <c r="S6" s="2">
        <f>EDATE(N6,Parametri!$D$6)</f>
        <v>1827</v>
      </c>
      <c r="T6" t="str">
        <f t="shared" si="0"/>
        <v>Complet</v>
      </c>
    </row>
    <row r="7" spans="1:21" x14ac:dyDescent="0.3">
      <c r="A7" s="6" t="s">
        <v>104</v>
      </c>
      <c r="B7" s="6">
        <v>8618</v>
      </c>
      <c r="C7" s="6" t="s">
        <v>129</v>
      </c>
      <c r="D7" s="6" t="s">
        <v>332</v>
      </c>
      <c r="E7" s="6" t="s">
        <v>319</v>
      </c>
      <c r="F7" s="6">
        <v>441</v>
      </c>
      <c r="G7" s="6" t="s">
        <v>249</v>
      </c>
      <c r="H7" s="6" t="s">
        <v>146</v>
      </c>
      <c r="I7" s="6">
        <v>45</v>
      </c>
      <c r="J7" s="3">
        <v>46082</v>
      </c>
      <c r="K7" s="3">
        <v>46023</v>
      </c>
      <c r="L7" s="3">
        <v>45778</v>
      </c>
      <c r="M7" s="3">
        <v>44986</v>
      </c>
      <c r="N7" s="3">
        <v>45689</v>
      </c>
      <c r="O7" s="2">
        <f>EDATE(J7,Parametri!$D$2)</f>
        <v>47178</v>
      </c>
      <c r="P7" s="2">
        <f>EDATE(K7,Parametri!$D$3)</f>
        <v>46569</v>
      </c>
      <c r="Q7" s="2">
        <f>EDATE(L7,Parametri!$D$4)</f>
        <v>46143</v>
      </c>
      <c r="R7" s="2">
        <f>EDATE(M7,Parametri!$D$5)</f>
        <v>46082</v>
      </c>
      <c r="S7" s="2">
        <f>EDATE(N7,Parametri!$D$6)</f>
        <v>47515</v>
      </c>
      <c r="T7" t="str">
        <f t="shared" si="0"/>
        <v>Complet</v>
      </c>
    </row>
    <row r="8" spans="1:21" x14ac:dyDescent="0.3">
      <c r="A8" s="6" t="s">
        <v>112</v>
      </c>
      <c r="B8" s="6">
        <v>8981</v>
      </c>
      <c r="C8" s="6" t="s">
        <v>242</v>
      </c>
      <c r="D8" s="6" t="s">
        <v>386</v>
      </c>
      <c r="E8" s="6" t="s">
        <v>313</v>
      </c>
      <c r="F8" s="6">
        <v>276</v>
      </c>
      <c r="G8" s="6" t="s">
        <v>325</v>
      </c>
      <c r="J8" s="3">
        <v>45778</v>
      </c>
      <c r="K8" s="3">
        <v>45323</v>
      </c>
      <c r="L8" s="3">
        <v>45717</v>
      </c>
      <c r="M8" s="3" t="s">
        <v>246</v>
      </c>
      <c r="N8" s="3">
        <v>45689</v>
      </c>
      <c r="O8" s="2">
        <f>EDATE(J8,Parametri!$D$2)</f>
        <v>46874</v>
      </c>
      <c r="P8" s="2">
        <f>EDATE(K8,Parametri!$D$3)</f>
        <v>45870</v>
      </c>
      <c r="Q8" s="2">
        <f>EDATE(L8,Parametri!$D$4)</f>
        <v>46082</v>
      </c>
      <c r="R8" s="2" t="e">
        <f>EDATE(M8,Parametri!$D$5)</f>
        <v>#VALUE!</v>
      </c>
      <c r="S8" s="2">
        <f>EDATE(N8,Parametri!$D$6)</f>
        <v>47515</v>
      </c>
      <c r="T8" t="str">
        <f t="shared" si="0"/>
        <v>Complet</v>
      </c>
    </row>
    <row r="9" spans="1:21" x14ac:dyDescent="0.3">
      <c r="A9" s="6" t="s">
        <v>360</v>
      </c>
      <c r="B9" s="6">
        <v>9743</v>
      </c>
      <c r="C9" s="6" t="s">
        <v>243</v>
      </c>
      <c r="D9" s="6" t="s">
        <v>387</v>
      </c>
      <c r="E9" s="6" t="s">
        <v>313</v>
      </c>
      <c r="F9" s="6">
        <v>276</v>
      </c>
      <c r="G9" s="6" t="s">
        <v>325</v>
      </c>
      <c r="H9" s="6">
        <v>66</v>
      </c>
      <c r="I9" s="6">
        <v>44</v>
      </c>
      <c r="J9" s="3">
        <v>46054</v>
      </c>
      <c r="K9" s="3">
        <v>46054</v>
      </c>
      <c r="L9" s="3">
        <v>46054</v>
      </c>
      <c r="M9" s="3" t="s">
        <v>246</v>
      </c>
      <c r="N9" s="3">
        <v>46054</v>
      </c>
      <c r="O9" s="2">
        <f>EDATE(J9,Parametri!$D$2)</f>
        <v>47150</v>
      </c>
      <c r="P9" s="2">
        <f>EDATE(K9,Parametri!$D$3)</f>
        <v>46600</v>
      </c>
      <c r="Q9" s="2">
        <f>EDATE(L9,Parametri!$D$4)</f>
        <v>46419</v>
      </c>
      <c r="R9" s="2" t="e">
        <f>EDATE(M9,Parametri!$D$5)</f>
        <v>#VALUE!</v>
      </c>
      <c r="S9" s="2">
        <f>EDATE(N9,Parametri!$D$6)</f>
        <v>47880</v>
      </c>
      <c r="T9" t="str">
        <f t="shared" si="0"/>
        <v>Complet</v>
      </c>
    </row>
    <row r="10" spans="1:21" x14ac:dyDescent="0.3">
      <c r="A10" s="6" t="s">
        <v>97</v>
      </c>
      <c r="B10" s="6">
        <v>7518</v>
      </c>
      <c r="C10" s="6" t="s">
        <v>243</v>
      </c>
      <c r="D10" s="6" t="s">
        <v>333</v>
      </c>
      <c r="E10" s="6" t="s">
        <v>310</v>
      </c>
      <c r="F10" s="6">
        <v>871</v>
      </c>
      <c r="G10" s="6" t="s">
        <v>325</v>
      </c>
      <c r="H10" s="6" t="s">
        <v>139</v>
      </c>
      <c r="I10" s="6">
        <v>43</v>
      </c>
      <c r="J10" s="3">
        <v>46054</v>
      </c>
      <c r="K10" s="3">
        <v>45870</v>
      </c>
      <c r="L10" s="3">
        <v>45717</v>
      </c>
      <c r="M10" s="3">
        <v>44986</v>
      </c>
      <c r="N10" s="3">
        <v>45689</v>
      </c>
      <c r="O10" s="2">
        <f>EDATE(J10,Parametri!$D$2)</f>
        <v>47150</v>
      </c>
      <c r="P10" s="2">
        <f>EDATE(K10,Parametri!$D$3)</f>
        <v>46419</v>
      </c>
      <c r="Q10" s="2">
        <f>EDATE(L10,Parametri!$D$4)</f>
        <v>46082</v>
      </c>
      <c r="R10" s="2">
        <f>EDATE(M10,Parametri!$D$5)</f>
        <v>46082</v>
      </c>
      <c r="S10" s="2">
        <f>EDATE(N10,Parametri!$D$6)</f>
        <v>47515</v>
      </c>
      <c r="T10" t="str">
        <f t="shared" si="0"/>
        <v>Complet</v>
      </c>
    </row>
    <row r="11" spans="1:21" x14ac:dyDescent="0.3">
      <c r="A11" s="6" t="s">
        <v>98</v>
      </c>
      <c r="B11" s="6">
        <v>7886</v>
      </c>
      <c r="C11" s="6" t="s">
        <v>129</v>
      </c>
      <c r="D11" s="6" t="s">
        <v>334</v>
      </c>
      <c r="E11" s="6" t="s">
        <v>322</v>
      </c>
      <c r="F11" s="6">
        <v>114</v>
      </c>
      <c r="G11" s="6" t="s">
        <v>326</v>
      </c>
      <c r="H11" s="6">
        <v>54</v>
      </c>
      <c r="I11" s="6">
        <v>45</v>
      </c>
      <c r="J11" s="3">
        <v>45658</v>
      </c>
      <c r="K11" s="3">
        <v>45901</v>
      </c>
      <c r="L11" s="3">
        <v>45717</v>
      </c>
      <c r="M11" s="3">
        <v>45901</v>
      </c>
      <c r="N11" s="3">
        <v>45689</v>
      </c>
      <c r="O11" s="2">
        <f>EDATE(J11,Parametri!$D$2)</f>
        <v>46753</v>
      </c>
      <c r="P11" s="2">
        <f>EDATE(K11,Parametri!$D$3)</f>
        <v>46447</v>
      </c>
      <c r="Q11" s="2">
        <f>EDATE(L11,Parametri!$D$4)</f>
        <v>46082</v>
      </c>
      <c r="R11" s="2">
        <f>EDATE(M11,Parametri!$D$5)</f>
        <v>46997</v>
      </c>
      <c r="S11" s="2">
        <f>EDATE(N11,Parametri!$D$6)</f>
        <v>47515</v>
      </c>
      <c r="T11" t="str">
        <f t="shared" si="0"/>
        <v>Complet</v>
      </c>
    </row>
    <row r="12" spans="1:21" x14ac:dyDescent="0.3">
      <c r="A12" s="6" t="s">
        <v>98</v>
      </c>
      <c r="B12" s="6">
        <v>7886</v>
      </c>
      <c r="C12" s="6" t="s">
        <v>129</v>
      </c>
      <c r="D12" s="6" t="s">
        <v>334</v>
      </c>
      <c r="E12" s="6" t="s">
        <v>315</v>
      </c>
      <c r="F12" s="6">
        <v>322</v>
      </c>
      <c r="G12" s="6" t="s">
        <v>326</v>
      </c>
      <c r="H12" s="6">
        <v>54</v>
      </c>
      <c r="I12" s="6">
        <v>45</v>
      </c>
      <c r="J12" s="3">
        <f>J11</f>
        <v>45658</v>
      </c>
      <c r="K12" s="3">
        <f>K11</f>
        <v>45901</v>
      </c>
      <c r="L12" s="3">
        <f>L11</f>
        <v>45717</v>
      </c>
      <c r="M12" s="3">
        <f>M11</f>
        <v>45901</v>
      </c>
      <c r="N12" s="3">
        <f>N11</f>
        <v>45689</v>
      </c>
      <c r="O12" s="2">
        <f>EDATE(J12,Parametri!$D$2)</f>
        <v>46753</v>
      </c>
      <c r="P12" s="2">
        <f>EDATE(K12,Parametri!$D$3)</f>
        <v>46447</v>
      </c>
      <c r="Q12" s="2">
        <f>EDATE(L12,Parametri!$D$4)</f>
        <v>46082</v>
      </c>
      <c r="R12" s="2">
        <f>EDATE(M12,Parametri!$D$5)</f>
        <v>46997</v>
      </c>
      <c r="S12" s="2">
        <f>EDATE(N12,Parametri!$D$6)</f>
        <v>47515</v>
      </c>
      <c r="T12" t="str">
        <f t="shared" si="0"/>
        <v>Complet</v>
      </c>
    </row>
    <row r="13" spans="1:21" x14ac:dyDescent="0.3">
      <c r="A13" s="6" t="s">
        <v>99</v>
      </c>
      <c r="B13" s="6">
        <v>7949</v>
      </c>
      <c r="C13" s="6" t="s">
        <v>131</v>
      </c>
      <c r="D13" s="6" t="s">
        <v>335</v>
      </c>
      <c r="E13" s="6" t="s">
        <v>324</v>
      </c>
      <c r="F13" s="6">
        <v>999</v>
      </c>
      <c r="G13" s="6" t="s">
        <v>344</v>
      </c>
      <c r="H13" s="6" t="s">
        <v>141</v>
      </c>
      <c r="I13" s="6">
        <v>43</v>
      </c>
      <c r="J13" s="3">
        <v>45658</v>
      </c>
      <c r="K13" s="3">
        <v>45717</v>
      </c>
      <c r="L13" s="3">
        <v>45566</v>
      </c>
      <c r="M13" s="3">
        <v>44562</v>
      </c>
      <c r="N13" s="3" t="s">
        <v>246</v>
      </c>
      <c r="O13" s="2">
        <f>EDATE(J13,Parametri!$D$2)</f>
        <v>46753</v>
      </c>
      <c r="P13" s="2">
        <f>EDATE(K13,Parametri!$D$3)</f>
        <v>46266</v>
      </c>
      <c r="Q13" s="2">
        <f>EDATE(L13,Parametri!$D$4)</f>
        <v>45931</v>
      </c>
      <c r="R13" s="2">
        <f>EDATE(M13,Parametri!$D$5)</f>
        <v>45658</v>
      </c>
      <c r="S13" s="2" t="e">
        <f>EDATE(N13,Parametri!$D$6)</f>
        <v>#VALUE!</v>
      </c>
      <c r="T13" t="str">
        <f t="shared" si="0"/>
        <v>Complet</v>
      </c>
    </row>
    <row r="14" spans="1:21" x14ac:dyDescent="0.3">
      <c r="A14" s="6" t="s">
        <v>108</v>
      </c>
      <c r="B14" s="6">
        <v>8772</v>
      </c>
      <c r="C14" s="6" t="s">
        <v>130</v>
      </c>
      <c r="D14" s="6" t="s">
        <v>341</v>
      </c>
      <c r="E14" s="6" t="s">
        <v>315</v>
      </c>
      <c r="F14" s="6">
        <v>325</v>
      </c>
      <c r="G14" s="6" t="s">
        <v>249</v>
      </c>
      <c r="H14" s="6" t="s">
        <v>141</v>
      </c>
      <c r="I14" s="6">
        <v>43</v>
      </c>
      <c r="J14" s="3">
        <v>45658</v>
      </c>
      <c r="K14" s="3">
        <v>45870</v>
      </c>
      <c r="L14" s="3">
        <v>45717</v>
      </c>
      <c r="M14" s="3">
        <v>44562</v>
      </c>
      <c r="N14" s="3">
        <v>45689</v>
      </c>
      <c r="O14" s="2">
        <f>EDATE(J14,Parametri!$D$2)</f>
        <v>46753</v>
      </c>
      <c r="P14" s="2">
        <f>EDATE(K14,Parametri!$D$3)</f>
        <v>46419</v>
      </c>
      <c r="Q14" s="2">
        <f>EDATE(L14,Parametri!$D$4)</f>
        <v>46082</v>
      </c>
      <c r="R14" s="2">
        <f>EDATE(M14,Parametri!$D$5)</f>
        <v>45658</v>
      </c>
      <c r="S14" s="2">
        <f>EDATE(N14,Parametri!$D$6)</f>
        <v>47515</v>
      </c>
      <c r="T14" t="str">
        <f t="shared" si="0"/>
        <v>Complet</v>
      </c>
    </row>
    <row r="15" spans="1:21" x14ac:dyDescent="0.3">
      <c r="A15" s="6" t="s">
        <v>76</v>
      </c>
      <c r="B15" s="6">
        <v>538</v>
      </c>
      <c r="C15" s="6" t="s">
        <v>128</v>
      </c>
      <c r="D15" s="6" t="s">
        <v>336</v>
      </c>
      <c r="E15" s="6" t="s">
        <v>318</v>
      </c>
      <c r="F15" s="6">
        <v>906</v>
      </c>
      <c r="G15" s="6" t="s">
        <v>325</v>
      </c>
      <c r="H15" s="6">
        <v>54</v>
      </c>
      <c r="I15" s="6">
        <v>42</v>
      </c>
      <c r="J15" s="3">
        <v>45566</v>
      </c>
      <c r="K15" s="3">
        <v>45870</v>
      </c>
      <c r="L15" s="3">
        <v>45717</v>
      </c>
      <c r="M15" s="3" t="s">
        <v>246</v>
      </c>
      <c r="N15" s="3">
        <v>45931</v>
      </c>
      <c r="O15" s="2">
        <f>EDATE(J15,Parametri!$D$2)</f>
        <v>46661</v>
      </c>
      <c r="P15" s="2">
        <f>EDATE(K15,Parametri!$D$3)</f>
        <v>46419</v>
      </c>
      <c r="Q15" s="2">
        <f>EDATE(L15,Parametri!$D$4)</f>
        <v>46082</v>
      </c>
      <c r="R15" s="2" t="e">
        <f>EDATE(M15,Parametri!$D$5)</f>
        <v>#VALUE!</v>
      </c>
      <c r="S15" s="2">
        <f>EDATE(N15,Parametri!$D$6)</f>
        <v>47757</v>
      </c>
      <c r="T15" t="str">
        <f t="shared" si="0"/>
        <v>Complet</v>
      </c>
    </row>
    <row r="16" spans="1:21" x14ac:dyDescent="0.3">
      <c r="A16" s="6" t="s">
        <v>406</v>
      </c>
      <c r="B16" s="6">
        <v>8994</v>
      </c>
      <c r="C16" s="6" t="s">
        <v>125</v>
      </c>
      <c r="D16" s="6" t="s">
        <v>337</v>
      </c>
      <c r="E16" s="6" t="s">
        <v>309</v>
      </c>
      <c r="F16" s="6">
        <v>586</v>
      </c>
      <c r="G16" s="6" t="s">
        <v>325</v>
      </c>
      <c r="H16" s="6" t="s">
        <v>148</v>
      </c>
      <c r="I16" s="6">
        <v>43</v>
      </c>
      <c r="J16" s="3">
        <v>46054</v>
      </c>
      <c r="K16" s="3">
        <v>45323</v>
      </c>
      <c r="L16" s="3">
        <v>45717</v>
      </c>
      <c r="M16" s="3">
        <v>44986</v>
      </c>
      <c r="N16" s="3">
        <v>45689</v>
      </c>
      <c r="O16" s="2">
        <f>EDATE(J16,Parametri!$D$2)</f>
        <v>47150</v>
      </c>
      <c r="P16" s="2">
        <f>EDATE(K16,Parametri!$D$3)</f>
        <v>45870</v>
      </c>
      <c r="Q16" s="2">
        <f>EDATE(L16,Parametri!$D$4)</f>
        <v>46082</v>
      </c>
      <c r="R16" s="2">
        <f>EDATE(M16,Parametri!$D$5)</f>
        <v>46082</v>
      </c>
      <c r="S16" s="2">
        <f>EDATE(N16,Parametri!$D$6)</f>
        <v>47515</v>
      </c>
      <c r="T16" t="str">
        <f t="shared" si="0"/>
        <v>Complet</v>
      </c>
    </row>
    <row r="17" spans="1:20" x14ac:dyDescent="0.3">
      <c r="A17" s="6" t="s">
        <v>122</v>
      </c>
      <c r="B17" s="6">
        <v>9633</v>
      </c>
      <c r="C17" s="6" t="s">
        <v>129</v>
      </c>
      <c r="D17" s="6" t="s">
        <v>338</v>
      </c>
      <c r="E17" s="6" t="s">
        <v>320</v>
      </c>
      <c r="F17" s="6">
        <v>340</v>
      </c>
      <c r="G17" s="6" t="s">
        <v>325</v>
      </c>
      <c r="J17" s="3">
        <v>45931</v>
      </c>
      <c r="K17" s="3">
        <v>45717</v>
      </c>
      <c r="L17" s="3">
        <v>45717</v>
      </c>
      <c r="M17" s="3"/>
      <c r="N17" s="3">
        <v>45717</v>
      </c>
      <c r="O17" s="2">
        <f>EDATE(J17,Parametri!$D$2)</f>
        <v>47027</v>
      </c>
      <c r="P17" s="2">
        <f>EDATE(K17,Parametri!$D$3)</f>
        <v>46266</v>
      </c>
      <c r="Q17" s="2">
        <f>EDATE(L17,Parametri!$D$4)</f>
        <v>46082</v>
      </c>
      <c r="R17" s="2">
        <f>EDATE(M17,Parametri!$D$5)</f>
        <v>1096</v>
      </c>
      <c r="S17" s="2">
        <f>EDATE(N17,Parametri!$D$6)</f>
        <v>47543</v>
      </c>
      <c r="T17" t="str">
        <f t="shared" si="0"/>
        <v>Complet</v>
      </c>
    </row>
    <row r="18" spans="1:20" x14ac:dyDescent="0.3">
      <c r="A18" s="6" t="s">
        <v>87</v>
      </c>
      <c r="B18" s="6">
        <v>4984</v>
      </c>
      <c r="C18" s="6" t="s">
        <v>125</v>
      </c>
      <c r="D18" s="6" t="s">
        <v>339</v>
      </c>
      <c r="E18" s="6" t="s">
        <v>319</v>
      </c>
      <c r="F18" s="6">
        <v>76</v>
      </c>
      <c r="G18" s="6" t="s">
        <v>325</v>
      </c>
      <c r="H18" s="6">
        <v>52</v>
      </c>
      <c r="I18" s="6">
        <v>42</v>
      </c>
      <c r="J18" s="7" t="s">
        <v>154</v>
      </c>
      <c r="K18" s="3">
        <v>45717</v>
      </c>
      <c r="L18" s="3">
        <v>45717</v>
      </c>
      <c r="M18" s="3">
        <v>44621</v>
      </c>
      <c r="N18" s="3">
        <v>45689</v>
      </c>
      <c r="O18" s="2">
        <f>EDATE(J18,Parametri!$D$2)</f>
        <v>46844</v>
      </c>
      <c r="P18" s="2">
        <f>EDATE(K18,Parametri!$D$3)</f>
        <v>46266</v>
      </c>
      <c r="Q18" s="2">
        <f>EDATE(L18,Parametri!$D$4)</f>
        <v>46082</v>
      </c>
      <c r="R18" s="2">
        <f>EDATE(M18,Parametri!$D$5)</f>
        <v>45717</v>
      </c>
      <c r="S18" s="2">
        <f>EDATE(N18,Parametri!$D$6)</f>
        <v>47515</v>
      </c>
      <c r="T18" t="str">
        <f t="shared" si="0"/>
        <v>Complet</v>
      </c>
    </row>
    <row r="19" spans="1:20" x14ac:dyDescent="0.3">
      <c r="A19" s="6" t="s">
        <v>82</v>
      </c>
      <c r="B19" s="6">
        <v>2641</v>
      </c>
      <c r="C19" s="6" t="s">
        <v>243</v>
      </c>
      <c r="D19" s="6" t="s">
        <v>388</v>
      </c>
      <c r="E19" s="6" t="s">
        <v>311</v>
      </c>
      <c r="F19" s="6">
        <v>769</v>
      </c>
      <c r="G19" s="6" t="s">
        <v>325</v>
      </c>
      <c r="H19" s="6" t="s">
        <v>153</v>
      </c>
      <c r="I19" s="6">
        <v>42</v>
      </c>
      <c r="J19" s="3">
        <v>45566</v>
      </c>
      <c r="K19" s="3">
        <v>45870</v>
      </c>
      <c r="L19" s="3">
        <v>45717</v>
      </c>
      <c r="M19" s="3" t="s">
        <v>246</v>
      </c>
      <c r="N19" s="3">
        <v>45689</v>
      </c>
      <c r="O19" s="2">
        <f>EDATE(J19,Parametri!$D$2)</f>
        <v>46661</v>
      </c>
      <c r="P19" s="2">
        <f>EDATE(K19,Parametri!$D$3)</f>
        <v>46419</v>
      </c>
      <c r="Q19" s="2">
        <f>EDATE(L19,Parametri!$D$4)</f>
        <v>46082</v>
      </c>
      <c r="R19" s="2" t="e">
        <f>EDATE(M19,Parametri!$D$5)</f>
        <v>#VALUE!</v>
      </c>
      <c r="S19" s="2">
        <f>EDATE(N19,Parametri!$D$6)</f>
        <v>47515</v>
      </c>
      <c r="T19" t="str">
        <f t="shared" si="0"/>
        <v>Complet</v>
      </c>
    </row>
    <row r="20" spans="1:20" x14ac:dyDescent="0.3">
      <c r="A20" s="6" t="s">
        <v>77</v>
      </c>
      <c r="B20" s="6">
        <v>545</v>
      </c>
      <c r="C20" s="6" t="s">
        <v>125</v>
      </c>
      <c r="D20" s="6" t="s">
        <v>340</v>
      </c>
      <c r="E20" s="6" t="s">
        <v>309</v>
      </c>
      <c r="F20" s="6">
        <v>472</v>
      </c>
      <c r="G20" s="6" t="s">
        <v>345</v>
      </c>
      <c r="H20" s="6">
        <v>52</v>
      </c>
      <c r="I20" s="6">
        <v>43</v>
      </c>
      <c r="J20" s="3">
        <v>45658</v>
      </c>
      <c r="K20" s="3">
        <v>45870</v>
      </c>
      <c r="L20" s="3">
        <v>45505</v>
      </c>
      <c r="M20" s="3">
        <v>44562</v>
      </c>
      <c r="N20" s="3">
        <v>45931</v>
      </c>
      <c r="O20" s="2">
        <f>EDATE(J20,Parametri!$D$2)</f>
        <v>46753</v>
      </c>
      <c r="P20" s="2">
        <f>EDATE(K20,Parametri!$D$3)</f>
        <v>46419</v>
      </c>
      <c r="Q20" s="2">
        <f>EDATE(L20,Parametri!$D$4)</f>
        <v>45870</v>
      </c>
      <c r="R20" s="2">
        <f>EDATE(M20,Parametri!$D$5)</f>
        <v>45658</v>
      </c>
      <c r="S20" s="2">
        <f>EDATE(N20,Parametri!$D$6)</f>
        <v>47757</v>
      </c>
      <c r="T20" t="str">
        <f t="shared" si="0"/>
        <v>Complet</v>
      </c>
    </row>
    <row r="21" spans="1:20" x14ac:dyDescent="0.3">
      <c r="A21" s="6" t="s">
        <v>91</v>
      </c>
      <c r="B21" s="6">
        <v>6463</v>
      </c>
      <c r="C21" s="6" t="s">
        <v>125</v>
      </c>
      <c r="D21" s="6" t="s">
        <v>346</v>
      </c>
      <c r="E21" s="6" t="s">
        <v>361</v>
      </c>
      <c r="F21" s="6">
        <v>370</v>
      </c>
      <c r="G21" s="6" t="s">
        <v>345</v>
      </c>
      <c r="H21" s="6" t="s">
        <v>139</v>
      </c>
      <c r="I21" s="6">
        <v>42</v>
      </c>
      <c r="J21" s="3">
        <v>45658</v>
      </c>
      <c r="K21" s="3">
        <v>45870</v>
      </c>
      <c r="L21" s="3">
        <v>45931</v>
      </c>
      <c r="M21" s="3">
        <v>44562</v>
      </c>
      <c r="N21" s="3"/>
      <c r="O21" s="2">
        <f>EDATE(J21,Parametri!$D$2)</f>
        <v>46753</v>
      </c>
      <c r="P21" s="2">
        <f>EDATE(K21,Parametri!$D$3)</f>
        <v>46419</v>
      </c>
      <c r="Q21" s="2">
        <f>EDATE(L21,Parametri!$D$4)</f>
        <v>46296</v>
      </c>
      <c r="R21" s="2">
        <f>EDATE(M21,Parametri!$D$5)</f>
        <v>45658</v>
      </c>
      <c r="S21" s="2">
        <f>EDATE(N21,Parametri!$D$6)</f>
        <v>1827</v>
      </c>
      <c r="T21" t="str">
        <f t="shared" si="0"/>
        <v>Complet</v>
      </c>
    </row>
    <row r="22" spans="1:20" x14ac:dyDescent="0.3">
      <c r="A22" s="6" t="s">
        <v>91</v>
      </c>
      <c r="B22" s="6">
        <v>6463</v>
      </c>
      <c r="C22" s="6" t="s">
        <v>125</v>
      </c>
      <c r="D22" s="6" t="s">
        <v>346</v>
      </c>
      <c r="E22" s="6" t="s">
        <v>309</v>
      </c>
      <c r="F22" s="6">
        <v>465</v>
      </c>
      <c r="G22" s="6" t="s">
        <v>345</v>
      </c>
      <c r="H22" s="6" t="s">
        <v>139</v>
      </c>
      <c r="I22" s="6">
        <v>42</v>
      </c>
      <c r="J22" s="3">
        <f t="shared" ref="J22:N23" si="1">J21</f>
        <v>45658</v>
      </c>
      <c r="K22" s="3">
        <f t="shared" si="1"/>
        <v>45870</v>
      </c>
      <c r="L22" s="3">
        <f t="shared" si="1"/>
        <v>45931</v>
      </c>
      <c r="M22" s="3">
        <f t="shared" si="1"/>
        <v>44562</v>
      </c>
      <c r="N22" s="3">
        <f t="shared" si="1"/>
        <v>0</v>
      </c>
      <c r="O22" s="2">
        <f>EDATE(J22,Parametri!$D$2)</f>
        <v>46753</v>
      </c>
      <c r="P22" s="2">
        <f>EDATE(K22,Parametri!$D$3)</f>
        <v>46419</v>
      </c>
      <c r="Q22" s="2">
        <f>EDATE(L22,Parametri!$D$4)</f>
        <v>46296</v>
      </c>
      <c r="R22" s="2">
        <f>EDATE(M22,Parametri!$D$5)</f>
        <v>45658</v>
      </c>
      <c r="S22" s="2">
        <f>EDATE(N22,Parametri!$D$6)</f>
        <v>1827</v>
      </c>
      <c r="T22" t="str">
        <f t="shared" si="0"/>
        <v>Complet</v>
      </c>
    </row>
    <row r="23" spans="1:20" x14ac:dyDescent="0.3">
      <c r="A23" s="6" t="s">
        <v>91</v>
      </c>
      <c r="B23" s="6">
        <v>6463</v>
      </c>
      <c r="C23" s="6" t="s">
        <v>125</v>
      </c>
      <c r="D23" s="6" t="s">
        <v>346</v>
      </c>
      <c r="E23" s="6" t="s">
        <v>311</v>
      </c>
      <c r="F23" s="6">
        <v>780</v>
      </c>
      <c r="G23" s="6" t="s">
        <v>345</v>
      </c>
      <c r="H23" s="6" t="s">
        <v>139</v>
      </c>
      <c r="I23" s="6">
        <v>42</v>
      </c>
      <c r="J23" s="3">
        <f t="shared" si="1"/>
        <v>45658</v>
      </c>
      <c r="K23" s="3">
        <f t="shared" si="1"/>
        <v>45870</v>
      </c>
      <c r="L23" s="3">
        <f t="shared" si="1"/>
        <v>45931</v>
      </c>
      <c r="M23" s="3">
        <f t="shared" si="1"/>
        <v>44562</v>
      </c>
      <c r="N23" s="3">
        <f t="shared" si="1"/>
        <v>0</v>
      </c>
      <c r="O23" s="2">
        <f>EDATE(J23,Parametri!$D$2)</f>
        <v>46753</v>
      </c>
      <c r="P23" s="2">
        <f>EDATE(K23,Parametri!$D$3)</f>
        <v>46419</v>
      </c>
      <c r="Q23" s="2">
        <f>EDATE(L23,Parametri!$D$4)</f>
        <v>46296</v>
      </c>
      <c r="R23" s="2">
        <f>EDATE(M23,Parametri!$D$5)</f>
        <v>45658</v>
      </c>
      <c r="S23" s="2">
        <f>EDATE(N23,Parametri!$D$6)</f>
        <v>1827</v>
      </c>
      <c r="T23" t="str">
        <f t="shared" si="0"/>
        <v>Complet</v>
      </c>
    </row>
    <row r="24" spans="1:20" x14ac:dyDescent="0.3">
      <c r="A24" s="6" t="s">
        <v>113</v>
      </c>
      <c r="B24" s="6">
        <v>8988</v>
      </c>
      <c r="C24" s="6" t="s">
        <v>243</v>
      </c>
      <c r="D24" s="6" t="s">
        <v>389</v>
      </c>
      <c r="E24" s="6" t="s">
        <v>312</v>
      </c>
      <c r="F24" s="6">
        <v>349</v>
      </c>
      <c r="G24" s="6" t="s">
        <v>325</v>
      </c>
      <c r="H24" s="6" t="s">
        <v>144</v>
      </c>
      <c r="I24" s="6">
        <v>41</v>
      </c>
      <c r="J24" s="3">
        <v>45658</v>
      </c>
      <c r="K24" s="3">
        <v>45870</v>
      </c>
      <c r="L24" s="3">
        <v>45931</v>
      </c>
      <c r="M24" s="3">
        <v>44562</v>
      </c>
      <c r="N24" s="3">
        <v>45689</v>
      </c>
      <c r="O24" s="2">
        <f>EDATE(J24,Parametri!$D$2)</f>
        <v>46753</v>
      </c>
      <c r="P24" s="2">
        <f>EDATE(K24,Parametri!$D$3)</f>
        <v>46419</v>
      </c>
      <c r="Q24" s="2">
        <f>EDATE(L24,Parametri!$D$4)</f>
        <v>46296</v>
      </c>
      <c r="R24" s="2">
        <f>EDATE(M24,Parametri!$D$5)</f>
        <v>45658</v>
      </c>
      <c r="S24" s="2">
        <f>EDATE(N24,Parametri!$D$6)</f>
        <v>47515</v>
      </c>
      <c r="T24" t="str">
        <f t="shared" si="0"/>
        <v>Complet</v>
      </c>
    </row>
    <row r="25" spans="1:20" x14ac:dyDescent="0.3">
      <c r="A25" s="6" t="s">
        <v>81</v>
      </c>
      <c r="B25" s="6">
        <v>1305</v>
      </c>
      <c r="C25" s="6" t="s">
        <v>125</v>
      </c>
      <c r="D25" s="6" t="s">
        <v>347</v>
      </c>
      <c r="E25" s="6" t="s">
        <v>361</v>
      </c>
      <c r="F25" s="6">
        <v>40</v>
      </c>
      <c r="G25" s="6" t="s">
        <v>348</v>
      </c>
      <c r="H25" s="6">
        <v>54</v>
      </c>
      <c r="I25" s="6">
        <v>43</v>
      </c>
      <c r="J25" s="3">
        <v>46054</v>
      </c>
      <c r="K25" s="3">
        <v>45870</v>
      </c>
      <c r="L25" s="3">
        <v>45931</v>
      </c>
      <c r="M25" s="3">
        <v>44986</v>
      </c>
      <c r="N25" s="3">
        <v>45717</v>
      </c>
      <c r="O25" s="2">
        <f>EDATE(J25,Parametri!$D$2)</f>
        <v>47150</v>
      </c>
      <c r="P25" s="2">
        <f>EDATE(K25,Parametri!$D$3)</f>
        <v>46419</v>
      </c>
      <c r="Q25" s="2">
        <f>EDATE(L25,Parametri!$D$4)</f>
        <v>46296</v>
      </c>
      <c r="R25" s="2">
        <f>EDATE(M25,Parametri!$D$5)</f>
        <v>46082</v>
      </c>
      <c r="S25" s="2">
        <f>EDATE(N25,Parametri!$D$6)</f>
        <v>47543</v>
      </c>
      <c r="T25" t="str">
        <f t="shared" si="0"/>
        <v>Complet</v>
      </c>
    </row>
    <row r="26" spans="1:20" x14ac:dyDescent="0.3">
      <c r="A26" s="6" t="s">
        <v>81</v>
      </c>
      <c r="B26" s="6">
        <v>1305</v>
      </c>
      <c r="C26" s="6" t="s">
        <v>125</v>
      </c>
      <c r="D26" s="6" t="s">
        <v>347</v>
      </c>
      <c r="E26" s="6" t="s">
        <v>309</v>
      </c>
      <c r="F26" s="6">
        <v>466</v>
      </c>
      <c r="G26" s="6" t="s">
        <v>348</v>
      </c>
      <c r="H26" s="6">
        <v>54</v>
      </c>
      <c r="I26" s="6">
        <v>43</v>
      </c>
      <c r="J26" s="3">
        <f t="shared" ref="J26:N27" si="2">J25</f>
        <v>46054</v>
      </c>
      <c r="K26" s="3">
        <f t="shared" si="2"/>
        <v>45870</v>
      </c>
      <c r="L26" s="3">
        <f t="shared" si="2"/>
        <v>45931</v>
      </c>
      <c r="M26" s="3">
        <f t="shared" si="2"/>
        <v>44986</v>
      </c>
      <c r="N26" s="3">
        <f t="shared" si="2"/>
        <v>45717</v>
      </c>
      <c r="O26" s="2">
        <f>EDATE(J26,Parametri!$D$2)</f>
        <v>47150</v>
      </c>
      <c r="P26" s="2">
        <f>EDATE(K26,Parametri!$D$3)</f>
        <v>46419</v>
      </c>
      <c r="Q26" s="2">
        <f>EDATE(L26,Parametri!$D$4)</f>
        <v>46296</v>
      </c>
      <c r="R26" s="2">
        <f>EDATE(M26,Parametri!$D$5)</f>
        <v>46082</v>
      </c>
      <c r="S26" s="2">
        <f>EDATE(N26,Parametri!$D$6)</f>
        <v>47543</v>
      </c>
      <c r="T26" t="str">
        <f t="shared" si="0"/>
        <v>Complet</v>
      </c>
    </row>
    <row r="27" spans="1:20" x14ac:dyDescent="0.3">
      <c r="A27" s="6" t="s">
        <v>81</v>
      </c>
      <c r="B27" s="6">
        <v>1305</v>
      </c>
      <c r="C27" s="6" t="s">
        <v>125</v>
      </c>
      <c r="D27" s="6" t="s">
        <v>347</v>
      </c>
      <c r="E27" s="6" t="s">
        <v>311</v>
      </c>
      <c r="F27" s="6">
        <v>744</v>
      </c>
      <c r="G27" s="6" t="s">
        <v>348</v>
      </c>
      <c r="H27" s="6">
        <v>54</v>
      </c>
      <c r="I27" s="6">
        <v>43</v>
      </c>
      <c r="J27" s="3">
        <f t="shared" si="2"/>
        <v>46054</v>
      </c>
      <c r="K27" s="3">
        <f t="shared" si="2"/>
        <v>45870</v>
      </c>
      <c r="L27" s="3">
        <f t="shared" si="2"/>
        <v>45931</v>
      </c>
      <c r="M27" s="3">
        <f t="shared" si="2"/>
        <v>44986</v>
      </c>
      <c r="N27" s="3">
        <f t="shared" si="2"/>
        <v>45717</v>
      </c>
      <c r="O27" s="2">
        <f>EDATE(J27,Parametri!$D$2)</f>
        <v>47150</v>
      </c>
      <c r="P27" s="2">
        <f>EDATE(K27,Parametri!$D$3)</f>
        <v>46419</v>
      </c>
      <c r="Q27" s="2">
        <f>EDATE(L27,Parametri!$D$4)</f>
        <v>46296</v>
      </c>
      <c r="R27" s="2">
        <f>EDATE(M27,Parametri!$D$5)</f>
        <v>46082</v>
      </c>
      <c r="S27" s="2">
        <f>EDATE(N27,Parametri!$D$6)</f>
        <v>47543</v>
      </c>
      <c r="T27" t="str">
        <f t="shared" si="0"/>
        <v>Complet</v>
      </c>
    </row>
    <row r="28" spans="1:20" x14ac:dyDescent="0.3">
      <c r="A28" s="6" t="s">
        <v>124</v>
      </c>
      <c r="B28" s="6">
        <v>9711</v>
      </c>
      <c r="C28" s="6" t="s">
        <v>137</v>
      </c>
      <c r="D28" s="6" t="s">
        <v>349</v>
      </c>
      <c r="E28" s="6" t="s">
        <v>324</v>
      </c>
      <c r="F28" s="6">
        <v>999</v>
      </c>
      <c r="G28" s="6" t="s">
        <v>343</v>
      </c>
      <c r="H28" s="6">
        <v>50</v>
      </c>
      <c r="I28" s="6">
        <v>44</v>
      </c>
      <c r="J28" s="3">
        <v>45931</v>
      </c>
      <c r="K28" s="3">
        <v>45931</v>
      </c>
      <c r="L28" s="3">
        <v>46082</v>
      </c>
      <c r="M28" s="3" t="s">
        <v>246</v>
      </c>
      <c r="N28" s="3" t="s">
        <v>246</v>
      </c>
      <c r="O28" s="2">
        <f>EDATE(J28,Parametri!$D$2)</f>
        <v>47027</v>
      </c>
      <c r="P28" s="2">
        <f>EDATE(K28,Parametri!$D$3)</f>
        <v>46478</v>
      </c>
      <c r="Q28" s="2">
        <f>EDATE(L28,Parametri!$D$4)</f>
        <v>46447</v>
      </c>
      <c r="R28" s="2" t="e">
        <f>EDATE(M28,Parametri!$D$5)</f>
        <v>#VALUE!</v>
      </c>
      <c r="S28" s="2" t="e">
        <f>EDATE(N28,Parametri!$D$6)</f>
        <v>#VALUE!</v>
      </c>
      <c r="T28" t="str">
        <f t="shared" si="0"/>
        <v>Complet</v>
      </c>
    </row>
    <row r="29" spans="1:20" x14ac:dyDescent="0.3">
      <c r="A29" s="6" t="s">
        <v>350</v>
      </c>
      <c r="B29" s="6">
        <v>2360</v>
      </c>
      <c r="C29" s="6" t="s">
        <v>125</v>
      </c>
      <c r="D29" s="6" t="s">
        <v>351</v>
      </c>
      <c r="E29" s="6" t="s">
        <v>309</v>
      </c>
      <c r="F29" s="6">
        <v>587</v>
      </c>
      <c r="G29" s="6" t="s">
        <v>325</v>
      </c>
      <c r="H29" s="6">
        <v>54</v>
      </c>
      <c r="I29" s="6">
        <v>43</v>
      </c>
      <c r="J29" s="3">
        <v>45658</v>
      </c>
      <c r="K29" s="3">
        <v>45870</v>
      </c>
      <c r="L29" s="3">
        <v>45778</v>
      </c>
      <c r="M29" s="3">
        <v>45778</v>
      </c>
      <c r="N29" s="3">
        <v>45689</v>
      </c>
      <c r="O29" s="2">
        <f>EDATE(J29,Parametri!$D$2)</f>
        <v>46753</v>
      </c>
      <c r="P29" s="2">
        <f>EDATE(K29,Parametri!$D$3)</f>
        <v>46419</v>
      </c>
      <c r="Q29" s="2">
        <f>EDATE(L29,Parametri!$D$4)</f>
        <v>46143</v>
      </c>
      <c r="R29" s="2">
        <f>EDATE(M29,Parametri!$D$5)</f>
        <v>46874</v>
      </c>
      <c r="S29" s="2">
        <f>EDATE(N29,Parametri!$D$6)</f>
        <v>47515</v>
      </c>
      <c r="T29" t="str">
        <f t="shared" si="0"/>
        <v>Complet</v>
      </c>
    </row>
    <row r="30" spans="1:20" x14ac:dyDescent="0.3">
      <c r="A30" s="6" t="s">
        <v>110</v>
      </c>
      <c r="B30" s="6">
        <v>8913</v>
      </c>
      <c r="C30" s="6" t="s">
        <v>242</v>
      </c>
      <c r="D30" s="6" t="s">
        <v>390</v>
      </c>
      <c r="E30" s="6" t="s">
        <v>313</v>
      </c>
      <c r="F30" s="6">
        <v>284</v>
      </c>
      <c r="G30" s="6" t="s">
        <v>325</v>
      </c>
      <c r="H30" s="6" t="s">
        <v>144</v>
      </c>
      <c r="I30" s="6">
        <v>42</v>
      </c>
      <c r="J30" s="3">
        <v>45566</v>
      </c>
      <c r="K30" s="3">
        <v>46082</v>
      </c>
      <c r="L30" s="3">
        <v>45444</v>
      </c>
      <c r="M30" s="3" t="s">
        <v>246</v>
      </c>
      <c r="N30" s="3">
        <v>44317</v>
      </c>
      <c r="O30" s="2">
        <f>EDATE(J30,Parametri!$D$2)</f>
        <v>46661</v>
      </c>
      <c r="P30" s="2">
        <f>EDATE(K30,Parametri!$D$3)</f>
        <v>46631</v>
      </c>
      <c r="Q30" s="2">
        <f>EDATE(L30,Parametri!$D$4)</f>
        <v>45809</v>
      </c>
      <c r="R30" s="2" t="e">
        <f>EDATE(M30,Parametri!$D$5)</f>
        <v>#VALUE!</v>
      </c>
      <c r="S30" s="2">
        <f>EDATE(N30,Parametri!$D$6)</f>
        <v>46143</v>
      </c>
      <c r="T30" t="str">
        <f t="shared" si="0"/>
        <v>Complet</v>
      </c>
    </row>
    <row r="31" spans="1:20" x14ac:dyDescent="0.3">
      <c r="A31" s="6" t="s">
        <v>120</v>
      </c>
      <c r="B31" s="6">
        <v>9383</v>
      </c>
      <c r="C31" s="6" t="s">
        <v>125</v>
      </c>
      <c r="D31" s="6" t="s">
        <v>391</v>
      </c>
      <c r="E31" s="6" t="s">
        <v>361</v>
      </c>
      <c r="F31" s="6">
        <v>373</v>
      </c>
      <c r="G31" s="6" t="s">
        <v>392</v>
      </c>
      <c r="J31" s="3">
        <v>45566</v>
      </c>
      <c r="K31" s="3">
        <v>45748</v>
      </c>
      <c r="L31" s="3">
        <v>45931</v>
      </c>
      <c r="M31" s="3"/>
      <c r="N31" s="3"/>
      <c r="O31" s="2">
        <f>EDATE(J31,Parametri!$D$2)</f>
        <v>46661</v>
      </c>
      <c r="P31" s="2">
        <f>EDATE(K31,Parametri!$D$3)</f>
        <v>46296</v>
      </c>
      <c r="Q31" s="2">
        <f>EDATE(L31,Parametri!$D$4)</f>
        <v>46296</v>
      </c>
      <c r="R31" s="2">
        <f>EDATE(M31,Parametri!$D$5)</f>
        <v>1096</v>
      </c>
      <c r="S31" s="2">
        <f>EDATE(N31,Parametri!$D$6)</f>
        <v>1827</v>
      </c>
      <c r="T31" t="str">
        <f t="shared" si="0"/>
        <v>Complet</v>
      </c>
    </row>
    <row r="32" spans="1:20" x14ac:dyDescent="0.3">
      <c r="A32" s="6" t="s">
        <v>120</v>
      </c>
      <c r="B32" s="6">
        <v>9383</v>
      </c>
      <c r="C32" s="6" t="s">
        <v>125</v>
      </c>
      <c r="D32" s="6" t="s">
        <v>391</v>
      </c>
      <c r="E32" s="6" t="s">
        <v>309</v>
      </c>
      <c r="F32" s="6">
        <v>469</v>
      </c>
      <c r="G32" s="6" t="s">
        <v>392</v>
      </c>
      <c r="J32" s="3">
        <f t="shared" ref="J32:N33" si="3">J31</f>
        <v>45566</v>
      </c>
      <c r="K32" s="3">
        <f t="shared" si="3"/>
        <v>45748</v>
      </c>
      <c r="L32" s="3">
        <f t="shared" si="3"/>
        <v>45931</v>
      </c>
      <c r="M32" s="3">
        <f t="shared" si="3"/>
        <v>0</v>
      </c>
      <c r="N32" s="3">
        <f t="shared" si="3"/>
        <v>0</v>
      </c>
      <c r="O32" s="2">
        <f>EDATE(J32,Parametri!$D$2)</f>
        <v>46661</v>
      </c>
      <c r="P32" s="2">
        <f>EDATE(K32,Parametri!$D$3)</f>
        <v>46296</v>
      </c>
      <c r="Q32" s="2">
        <f>EDATE(L32,Parametri!$D$4)</f>
        <v>46296</v>
      </c>
      <c r="R32" s="2">
        <f>EDATE(M32,Parametri!$D$5)</f>
        <v>1096</v>
      </c>
      <c r="S32" s="2">
        <f>EDATE(N32,Parametri!$D$6)</f>
        <v>1827</v>
      </c>
      <c r="T32" t="str">
        <f t="shared" si="0"/>
        <v>Complet</v>
      </c>
    </row>
    <row r="33" spans="1:20" x14ac:dyDescent="0.3">
      <c r="A33" s="6" t="s">
        <v>120</v>
      </c>
      <c r="B33" s="6">
        <v>9383</v>
      </c>
      <c r="C33" s="6" t="s">
        <v>125</v>
      </c>
      <c r="D33" s="6" t="s">
        <v>391</v>
      </c>
      <c r="E33" s="6" t="s">
        <v>311</v>
      </c>
      <c r="F33" s="6">
        <v>747</v>
      </c>
      <c r="G33" s="6" t="s">
        <v>392</v>
      </c>
      <c r="J33" s="3">
        <f t="shared" si="3"/>
        <v>45566</v>
      </c>
      <c r="K33" s="3">
        <f t="shared" si="3"/>
        <v>45748</v>
      </c>
      <c r="L33" s="3">
        <f t="shared" si="3"/>
        <v>45931</v>
      </c>
      <c r="M33" s="3">
        <f t="shared" si="3"/>
        <v>0</v>
      </c>
      <c r="N33" s="3">
        <f t="shared" si="3"/>
        <v>0</v>
      </c>
      <c r="O33" s="2">
        <f>EDATE(J33,Parametri!$D$2)</f>
        <v>46661</v>
      </c>
      <c r="P33" s="2">
        <f>EDATE(K33,Parametri!$D$3)</f>
        <v>46296</v>
      </c>
      <c r="Q33" s="2">
        <f>EDATE(L33,Parametri!$D$4)</f>
        <v>46296</v>
      </c>
      <c r="R33" s="2">
        <f>EDATE(M33,Parametri!$D$5)</f>
        <v>1096</v>
      </c>
      <c r="S33" s="2">
        <f>EDATE(N33,Parametri!$D$6)</f>
        <v>1827</v>
      </c>
      <c r="T33" t="str">
        <f t="shared" ref="T33:T63" si="4">IF(COUNTIF(O33:S33,"nu")&gt;0,"Incomplet","Complet")</f>
        <v>Complet</v>
      </c>
    </row>
    <row r="34" spans="1:20" x14ac:dyDescent="0.3">
      <c r="A34" s="6" t="s">
        <v>115</v>
      </c>
      <c r="B34" s="6">
        <v>9161</v>
      </c>
      <c r="C34" s="6" t="s">
        <v>243</v>
      </c>
      <c r="D34" s="6" t="s">
        <v>393</v>
      </c>
      <c r="E34" s="6" t="s">
        <v>314</v>
      </c>
      <c r="F34" s="6">
        <v>96</v>
      </c>
      <c r="G34" s="6" t="s">
        <v>326</v>
      </c>
      <c r="H34" s="6">
        <v>54</v>
      </c>
      <c r="I34" s="6">
        <v>43</v>
      </c>
      <c r="J34" s="3">
        <v>46023</v>
      </c>
      <c r="K34" s="3">
        <v>45323</v>
      </c>
      <c r="L34" s="3">
        <v>45536</v>
      </c>
      <c r="M34" s="3" t="s">
        <v>246</v>
      </c>
      <c r="N34" s="3">
        <v>45689</v>
      </c>
      <c r="O34" s="2">
        <f>EDATE(J34,Parametri!$D$2)</f>
        <v>47119</v>
      </c>
      <c r="P34" s="2">
        <f>EDATE(K34,Parametri!$D$3)</f>
        <v>45870</v>
      </c>
      <c r="Q34" s="2">
        <f>EDATE(L34,Parametri!$D$4)</f>
        <v>45901</v>
      </c>
      <c r="R34" s="2" t="e">
        <f>EDATE(M34,Parametri!$D$5)</f>
        <v>#VALUE!</v>
      </c>
      <c r="S34" s="2">
        <f>EDATE(N34,Parametri!$D$6)</f>
        <v>47515</v>
      </c>
      <c r="T34" t="str">
        <f t="shared" si="4"/>
        <v>Complet</v>
      </c>
    </row>
    <row r="35" spans="1:20" x14ac:dyDescent="0.3">
      <c r="A35" s="6" t="s">
        <v>115</v>
      </c>
      <c r="B35" s="6">
        <v>9161</v>
      </c>
      <c r="C35" s="6" t="s">
        <v>243</v>
      </c>
      <c r="D35" s="6" t="s">
        <v>393</v>
      </c>
      <c r="E35" s="6" t="s">
        <v>313</v>
      </c>
      <c r="F35" s="6">
        <v>648</v>
      </c>
      <c r="G35" s="6" t="s">
        <v>326</v>
      </c>
      <c r="H35" s="6">
        <v>54</v>
      </c>
      <c r="I35" s="6">
        <v>43</v>
      </c>
      <c r="J35" s="3">
        <f>J34</f>
        <v>46023</v>
      </c>
      <c r="K35" s="3">
        <f>K34</f>
        <v>45323</v>
      </c>
      <c r="L35" s="3">
        <f>L34</f>
        <v>45536</v>
      </c>
      <c r="M35" s="3" t="str">
        <f>M34</f>
        <v>NU E NEVOE</v>
      </c>
      <c r="N35" s="3">
        <f>N34</f>
        <v>45689</v>
      </c>
      <c r="O35" s="2">
        <f>EDATE(J35,Parametri!$D$2)</f>
        <v>47119</v>
      </c>
      <c r="P35" s="2">
        <f>EDATE(K35,Parametri!$D$3)</f>
        <v>45870</v>
      </c>
      <c r="Q35" s="2">
        <f>EDATE(L35,Parametri!$D$4)</f>
        <v>45901</v>
      </c>
      <c r="R35" s="2" t="e">
        <f>EDATE(M35,Parametri!$D$5)</f>
        <v>#VALUE!</v>
      </c>
      <c r="S35" s="2">
        <f>EDATE(N35,Parametri!$D$6)</f>
        <v>47515</v>
      </c>
      <c r="T35" t="str">
        <f t="shared" si="4"/>
        <v>Complet</v>
      </c>
    </row>
    <row r="36" spans="1:20" x14ac:dyDescent="0.3">
      <c r="A36" s="6" t="s">
        <v>352</v>
      </c>
      <c r="B36" s="6">
        <v>8980</v>
      </c>
      <c r="C36" s="6" t="s">
        <v>127</v>
      </c>
      <c r="D36" s="6" t="s">
        <v>353</v>
      </c>
      <c r="E36" s="6" t="s">
        <v>309</v>
      </c>
      <c r="F36" s="6">
        <v>473</v>
      </c>
      <c r="G36" s="6" t="s">
        <v>354</v>
      </c>
      <c r="H36" s="6" t="s">
        <v>143</v>
      </c>
      <c r="I36" s="6">
        <v>42</v>
      </c>
      <c r="J36" s="3">
        <v>45658</v>
      </c>
      <c r="K36" s="3">
        <v>45870</v>
      </c>
      <c r="L36" s="3">
        <v>45778</v>
      </c>
      <c r="M36" s="3">
        <v>45901</v>
      </c>
      <c r="N36" s="3">
        <v>45717</v>
      </c>
      <c r="O36" s="2">
        <f>EDATE(J36,Parametri!$D$2)</f>
        <v>46753</v>
      </c>
      <c r="P36" s="2">
        <f>EDATE(K36,Parametri!$D$3)</f>
        <v>46419</v>
      </c>
      <c r="Q36" s="2">
        <f>EDATE(L36,Parametri!$D$4)</f>
        <v>46143</v>
      </c>
      <c r="R36" s="2">
        <f>EDATE(M36,Parametri!$D$5)</f>
        <v>46997</v>
      </c>
      <c r="S36" s="2">
        <f>EDATE(N36,Parametri!$D$6)</f>
        <v>47543</v>
      </c>
      <c r="T36" t="str">
        <f t="shared" si="4"/>
        <v>Complet</v>
      </c>
    </row>
    <row r="37" spans="1:20" x14ac:dyDescent="0.3">
      <c r="A37" s="6" t="s">
        <v>289</v>
      </c>
      <c r="B37" s="6">
        <v>8617</v>
      </c>
      <c r="C37" s="6" t="s">
        <v>129</v>
      </c>
      <c r="D37" s="6" t="s">
        <v>355</v>
      </c>
      <c r="E37" s="6" t="s">
        <v>329</v>
      </c>
      <c r="F37" s="6">
        <v>329</v>
      </c>
      <c r="G37" s="6" t="s">
        <v>249</v>
      </c>
      <c r="H37" s="6" t="s">
        <v>141</v>
      </c>
      <c r="I37" s="6">
        <v>42</v>
      </c>
      <c r="J37" s="3">
        <v>46054</v>
      </c>
      <c r="K37" s="3">
        <v>45931</v>
      </c>
      <c r="L37" s="3">
        <v>45931</v>
      </c>
      <c r="M37" s="3">
        <v>44986</v>
      </c>
      <c r="N37" s="3">
        <v>45931</v>
      </c>
      <c r="O37" s="2">
        <f>EDATE(J37,Parametri!$D$2)</f>
        <v>47150</v>
      </c>
      <c r="P37" s="2">
        <f>EDATE(K37,Parametri!$D$3)</f>
        <v>46478</v>
      </c>
      <c r="Q37" s="2">
        <f>EDATE(L37,Parametri!$D$4)</f>
        <v>46296</v>
      </c>
      <c r="R37" s="2">
        <f>EDATE(M37,Parametri!$D$5)</f>
        <v>46082</v>
      </c>
      <c r="S37" s="2">
        <f>EDATE(N37,Parametri!$D$6)</f>
        <v>47757</v>
      </c>
      <c r="T37" t="str">
        <f t="shared" si="4"/>
        <v>Complet</v>
      </c>
    </row>
    <row r="38" spans="1:20" x14ac:dyDescent="0.3">
      <c r="A38" s="6" t="s">
        <v>289</v>
      </c>
      <c r="B38" s="6">
        <v>8617</v>
      </c>
      <c r="C38" s="6" t="s">
        <v>129</v>
      </c>
      <c r="D38" s="6" t="s">
        <v>355</v>
      </c>
      <c r="E38" s="6" t="s">
        <v>362</v>
      </c>
      <c r="F38" s="6">
        <v>362</v>
      </c>
      <c r="G38" s="6" t="s">
        <v>249</v>
      </c>
      <c r="H38" s="6" t="s">
        <v>141</v>
      </c>
      <c r="I38" s="6">
        <v>42</v>
      </c>
      <c r="J38" s="3">
        <f>J37</f>
        <v>46054</v>
      </c>
      <c r="K38" s="3">
        <f>K37</f>
        <v>45931</v>
      </c>
      <c r="L38" s="3">
        <f>L37</f>
        <v>45931</v>
      </c>
      <c r="M38" s="3">
        <f>M37</f>
        <v>44986</v>
      </c>
      <c r="N38" s="3">
        <f>N37</f>
        <v>45931</v>
      </c>
      <c r="O38" s="2">
        <f>EDATE(J38,Parametri!$D$2)</f>
        <v>47150</v>
      </c>
      <c r="P38" s="2">
        <f>EDATE(K38,Parametri!$D$3)</f>
        <v>46478</v>
      </c>
      <c r="Q38" s="2">
        <f>EDATE(L38,Parametri!$D$4)</f>
        <v>46296</v>
      </c>
      <c r="R38" s="2">
        <f>EDATE(M38,Parametri!$D$5)</f>
        <v>46082</v>
      </c>
      <c r="S38" s="2">
        <f>EDATE(N38,Parametri!$D$6)</f>
        <v>47757</v>
      </c>
      <c r="T38" t="str">
        <f t="shared" si="4"/>
        <v>Complet</v>
      </c>
    </row>
    <row r="39" spans="1:20" x14ac:dyDescent="0.3">
      <c r="A39" s="6" t="s">
        <v>109</v>
      </c>
      <c r="B39" s="6">
        <v>8898</v>
      </c>
      <c r="C39" s="6" t="s">
        <v>134</v>
      </c>
      <c r="D39" s="6" t="s">
        <v>394</v>
      </c>
      <c r="E39" s="6" t="s">
        <v>324</v>
      </c>
      <c r="F39" s="6">
        <v>999</v>
      </c>
      <c r="G39" s="6" t="s">
        <v>344</v>
      </c>
      <c r="H39" s="6">
        <v>50</v>
      </c>
      <c r="I39" s="6">
        <v>41</v>
      </c>
      <c r="J39" s="3">
        <v>45566</v>
      </c>
      <c r="K39" s="3">
        <v>45717</v>
      </c>
      <c r="L39" s="3">
        <v>45809</v>
      </c>
      <c r="M39" s="3">
        <v>44896</v>
      </c>
      <c r="N39" s="3" t="s">
        <v>246</v>
      </c>
      <c r="O39" s="2">
        <f>EDATE(J39,Parametri!$D$2)</f>
        <v>46661</v>
      </c>
      <c r="P39" s="2">
        <f>EDATE(K39,Parametri!$D$3)</f>
        <v>46266</v>
      </c>
      <c r="Q39" s="2">
        <f>EDATE(L39,Parametri!$D$4)</f>
        <v>46174</v>
      </c>
      <c r="R39" s="2">
        <f>EDATE(M39,Parametri!$D$5)</f>
        <v>45992</v>
      </c>
      <c r="S39" s="2" t="e">
        <f>EDATE(N39,Parametri!$D$6)</f>
        <v>#VALUE!</v>
      </c>
      <c r="T39" t="str">
        <f t="shared" si="4"/>
        <v>Complet</v>
      </c>
    </row>
    <row r="40" spans="1:20" x14ac:dyDescent="0.3">
      <c r="A40" s="6" t="s">
        <v>241</v>
      </c>
      <c r="B40" s="6">
        <v>8222</v>
      </c>
      <c r="C40" s="6" t="s">
        <v>129</v>
      </c>
      <c r="D40" s="6" t="s">
        <v>356</v>
      </c>
      <c r="E40" s="6" t="s">
        <v>329</v>
      </c>
      <c r="F40" s="6">
        <v>329</v>
      </c>
      <c r="G40" s="6" t="s">
        <v>249</v>
      </c>
      <c r="H40" s="6" t="s">
        <v>143</v>
      </c>
      <c r="I40" s="6">
        <v>43</v>
      </c>
      <c r="J40" s="3">
        <v>46054</v>
      </c>
      <c r="K40" s="3">
        <v>45627</v>
      </c>
      <c r="L40" s="3">
        <v>45717</v>
      </c>
      <c r="M40" s="3">
        <v>44986</v>
      </c>
      <c r="N40" s="3"/>
      <c r="O40" s="2">
        <f>EDATE(J40,Parametri!$D$2)</f>
        <v>47150</v>
      </c>
      <c r="P40" s="2">
        <f>EDATE(K40,Parametri!$D$3)</f>
        <v>46174</v>
      </c>
      <c r="Q40" s="2">
        <f>EDATE(L40,Parametri!$D$4)</f>
        <v>46082</v>
      </c>
      <c r="R40" s="2">
        <f>EDATE(M40,Parametri!$D$5)</f>
        <v>46082</v>
      </c>
      <c r="S40" s="2">
        <f>EDATE(N40,Parametri!$D$6)</f>
        <v>1827</v>
      </c>
      <c r="T40" t="str">
        <f t="shared" si="4"/>
        <v>Complet</v>
      </c>
    </row>
    <row r="41" spans="1:20" x14ac:dyDescent="0.3">
      <c r="A41" s="6" t="s">
        <v>84</v>
      </c>
      <c r="B41" s="6">
        <v>3620</v>
      </c>
      <c r="C41" s="6" t="s">
        <v>125</v>
      </c>
      <c r="D41" s="6" t="s">
        <v>357</v>
      </c>
      <c r="E41" s="6" t="s">
        <v>309</v>
      </c>
      <c r="F41" s="6">
        <v>473</v>
      </c>
      <c r="G41" s="6" t="s">
        <v>354</v>
      </c>
      <c r="H41" s="6">
        <v>54</v>
      </c>
      <c r="I41" s="6">
        <v>45</v>
      </c>
      <c r="J41" s="3">
        <v>45658</v>
      </c>
      <c r="K41" s="3">
        <v>45870</v>
      </c>
      <c r="L41" s="3">
        <v>45962</v>
      </c>
      <c r="M41" s="3">
        <v>44562</v>
      </c>
      <c r="N41" s="3"/>
      <c r="O41" s="2">
        <f>EDATE(J41,Parametri!$D$2)</f>
        <v>46753</v>
      </c>
      <c r="P41" s="2">
        <f>EDATE(K41,Parametri!$D$3)</f>
        <v>46419</v>
      </c>
      <c r="Q41" s="2">
        <f>EDATE(L41,Parametri!$D$4)</f>
        <v>46327</v>
      </c>
      <c r="R41" s="2">
        <f>EDATE(M41,Parametri!$D$5)</f>
        <v>45658</v>
      </c>
      <c r="S41" s="2">
        <f>EDATE(N41,Parametri!$D$6)</f>
        <v>1827</v>
      </c>
      <c r="T41" t="str">
        <f t="shared" si="4"/>
        <v>Complet</v>
      </c>
    </row>
    <row r="42" spans="1:20" x14ac:dyDescent="0.3">
      <c r="A42" s="6" t="s">
        <v>94</v>
      </c>
      <c r="B42" s="6">
        <v>7134</v>
      </c>
      <c r="C42" s="6" t="s">
        <v>244</v>
      </c>
      <c r="D42" s="6" t="s">
        <v>358</v>
      </c>
      <c r="E42" s="6" t="s">
        <v>324</v>
      </c>
      <c r="F42" s="6">
        <v>999</v>
      </c>
      <c r="G42" s="6" t="s">
        <v>344</v>
      </c>
      <c r="H42" s="6" t="s">
        <v>140</v>
      </c>
      <c r="I42" s="6">
        <v>45</v>
      </c>
      <c r="J42" s="3">
        <v>45658</v>
      </c>
      <c r="K42" s="3">
        <v>46143</v>
      </c>
      <c r="L42" s="3">
        <v>46143</v>
      </c>
      <c r="M42" s="3">
        <v>44986</v>
      </c>
      <c r="N42" s="3" t="s">
        <v>246</v>
      </c>
      <c r="O42" s="2">
        <f>EDATE(J42,Parametri!$D$2)</f>
        <v>46753</v>
      </c>
      <c r="P42" s="2">
        <f>EDATE(K42,Parametri!$D$3)</f>
        <v>46692</v>
      </c>
      <c r="Q42" s="2">
        <f>EDATE(L42,Parametri!$D$4)</f>
        <v>46508</v>
      </c>
      <c r="R42" s="2">
        <f>EDATE(M42,Parametri!$D$5)</f>
        <v>46082</v>
      </c>
      <c r="S42" s="2" t="e">
        <f>EDATE(N42,Parametri!$D$6)</f>
        <v>#VALUE!</v>
      </c>
      <c r="T42" t="str">
        <f t="shared" si="4"/>
        <v>Complet</v>
      </c>
    </row>
    <row r="43" spans="1:20" x14ac:dyDescent="0.3">
      <c r="A43" s="6" t="s">
        <v>119</v>
      </c>
      <c r="B43" s="6">
        <v>9364</v>
      </c>
      <c r="C43" s="6" t="s">
        <v>136</v>
      </c>
      <c r="D43" s="6" t="s">
        <v>395</v>
      </c>
      <c r="E43" s="6" t="s">
        <v>324</v>
      </c>
      <c r="F43" s="6">
        <v>999</v>
      </c>
      <c r="G43" s="6" t="s">
        <v>344</v>
      </c>
      <c r="H43" s="6" t="s">
        <v>150</v>
      </c>
      <c r="I43" s="6">
        <v>42</v>
      </c>
      <c r="J43" s="3">
        <v>45566</v>
      </c>
      <c r="K43" s="3">
        <v>45717</v>
      </c>
      <c r="L43" s="3">
        <v>45870</v>
      </c>
      <c r="M43" s="3" t="s">
        <v>246</v>
      </c>
      <c r="N43" s="3" t="s">
        <v>246</v>
      </c>
      <c r="O43" s="2">
        <f>EDATE(J43,Parametri!$D$2)</f>
        <v>46661</v>
      </c>
      <c r="P43" s="2">
        <f>EDATE(K43,Parametri!$D$3)</f>
        <v>46266</v>
      </c>
      <c r="Q43" s="2">
        <f>EDATE(L43,Parametri!$D$4)</f>
        <v>46235</v>
      </c>
      <c r="R43" s="2" t="e">
        <f>EDATE(M43,Parametri!$D$5)</f>
        <v>#VALUE!</v>
      </c>
      <c r="S43" s="2" t="e">
        <f>EDATE(N43,Parametri!$D$6)</f>
        <v>#VALUE!</v>
      </c>
      <c r="T43" t="str">
        <f t="shared" si="4"/>
        <v>Complet</v>
      </c>
    </row>
    <row r="44" spans="1:20" x14ac:dyDescent="0.3">
      <c r="A44" s="6" t="s">
        <v>101</v>
      </c>
      <c r="B44" s="6">
        <v>8224</v>
      </c>
      <c r="C44" s="6" t="s">
        <v>129</v>
      </c>
      <c r="D44" s="6" t="s">
        <v>359</v>
      </c>
      <c r="E44" s="6" t="s">
        <v>363</v>
      </c>
      <c r="F44" s="6">
        <v>144</v>
      </c>
      <c r="G44" s="6" t="s">
        <v>249</v>
      </c>
      <c r="H44" s="6" t="s">
        <v>144</v>
      </c>
      <c r="I44" s="6">
        <v>43</v>
      </c>
      <c r="J44" s="3">
        <v>46082</v>
      </c>
      <c r="K44" s="3">
        <v>45717</v>
      </c>
      <c r="L44" s="3">
        <v>45566</v>
      </c>
      <c r="M44" s="3">
        <v>44986</v>
      </c>
      <c r="N44" s="3">
        <v>45931</v>
      </c>
      <c r="O44" s="2">
        <f>EDATE(J44,Parametri!$D$2)</f>
        <v>47178</v>
      </c>
      <c r="P44" s="2">
        <f>EDATE(K44,Parametri!$D$3)</f>
        <v>46266</v>
      </c>
      <c r="Q44" s="2">
        <f>EDATE(L44,Parametri!$D$4)</f>
        <v>45931</v>
      </c>
      <c r="R44" s="2">
        <f>EDATE(M44,Parametri!$D$5)</f>
        <v>46082</v>
      </c>
      <c r="S44" s="2">
        <f>EDATE(N44,Parametri!$D$6)</f>
        <v>47757</v>
      </c>
      <c r="T44" t="str">
        <f t="shared" si="4"/>
        <v>Complet</v>
      </c>
    </row>
    <row r="45" spans="1:20" x14ac:dyDescent="0.3">
      <c r="A45" s="6" t="s">
        <v>101</v>
      </c>
      <c r="B45" s="6">
        <v>8224</v>
      </c>
      <c r="C45" s="6" t="s">
        <v>129</v>
      </c>
      <c r="D45" s="6" t="s">
        <v>359</v>
      </c>
      <c r="E45" s="6" t="s">
        <v>319</v>
      </c>
      <c r="F45" s="6">
        <v>441</v>
      </c>
      <c r="G45" s="6" t="s">
        <v>249</v>
      </c>
      <c r="H45" s="6" t="s">
        <v>144</v>
      </c>
      <c r="I45" s="6">
        <v>43</v>
      </c>
      <c r="J45" s="3">
        <f>J44</f>
        <v>46082</v>
      </c>
      <c r="K45" s="3">
        <f>K44</f>
        <v>45717</v>
      </c>
      <c r="L45" s="3">
        <f>L44</f>
        <v>45566</v>
      </c>
      <c r="M45" s="3">
        <f>M44</f>
        <v>44986</v>
      </c>
      <c r="N45" s="3">
        <f>N44</f>
        <v>45931</v>
      </c>
      <c r="O45" s="2">
        <f>EDATE(J45,Parametri!$D$2)</f>
        <v>47178</v>
      </c>
      <c r="P45" s="2">
        <f>EDATE(K45,Parametri!$D$3)</f>
        <v>46266</v>
      </c>
      <c r="Q45" s="2">
        <f>EDATE(L45,Parametri!$D$4)</f>
        <v>45931</v>
      </c>
      <c r="R45" s="2">
        <f>EDATE(M45,Parametri!$D$5)</f>
        <v>46082</v>
      </c>
      <c r="S45" s="2">
        <f>EDATE(N45,Parametri!$D$6)</f>
        <v>47757</v>
      </c>
      <c r="T45" t="str">
        <f t="shared" si="4"/>
        <v>Complet</v>
      </c>
    </row>
    <row r="46" spans="1:20" x14ac:dyDescent="0.3">
      <c r="A46" s="6" t="s">
        <v>123</v>
      </c>
      <c r="B46" s="6">
        <v>9669</v>
      </c>
      <c r="C46" s="6" t="s">
        <v>242</v>
      </c>
      <c r="D46" s="6" t="s">
        <v>366</v>
      </c>
      <c r="E46" s="6" t="s">
        <v>316</v>
      </c>
      <c r="F46" s="6">
        <v>393</v>
      </c>
      <c r="G46" s="6" t="s">
        <v>325</v>
      </c>
      <c r="H46" s="6">
        <v>60</v>
      </c>
      <c r="I46" s="6">
        <v>41</v>
      </c>
      <c r="J46" s="3">
        <v>45931</v>
      </c>
      <c r="K46" s="3">
        <v>45809</v>
      </c>
      <c r="L46" s="3">
        <v>45809</v>
      </c>
      <c r="M46" s="3" t="s">
        <v>246</v>
      </c>
      <c r="N46" s="3"/>
      <c r="O46" s="2">
        <f>EDATE(J46,Parametri!$D$2)</f>
        <v>47027</v>
      </c>
      <c r="P46" s="2">
        <f>EDATE(K46,Parametri!$D$3)</f>
        <v>46357</v>
      </c>
      <c r="Q46" s="2">
        <f>EDATE(L46,Parametri!$D$4)</f>
        <v>46174</v>
      </c>
      <c r="R46" s="2" t="e">
        <f>EDATE(M46,Parametri!$D$5)</f>
        <v>#VALUE!</v>
      </c>
      <c r="S46" s="2">
        <f>EDATE(N46,Parametri!$D$6)</f>
        <v>1827</v>
      </c>
      <c r="T46" t="str">
        <f t="shared" si="4"/>
        <v>Complet</v>
      </c>
    </row>
    <row r="47" spans="1:20" x14ac:dyDescent="0.3">
      <c r="A47" s="6" t="s">
        <v>296</v>
      </c>
      <c r="B47" s="6">
        <v>3180</v>
      </c>
      <c r="C47" s="6" t="s">
        <v>127</v>
      </c>
      <c r="D47" s="6" t="s">
        <v>367</v>
      </c>
      <c r="E47" s="6" t="s">
        <v>309</v>
      </c>
      <c r="F47" s="6">
        <v>586</v>
      </c>
      <c r="G47" s="6" t="s">
        <v>325</v>
      </c>
      <c r="H47" s="6" t="s">
        <v>139</v>
      </c>
      <c r="I47" s="6">
        <v>42</v>
      </c>
      <c r="J47" s="3" t="s">
        <v>152</v>
      </c>
      <c r="K47" s="3">
        <v>45870</v>
      </c>
      <c r="L47" s="3">
        <v>45931</v>
      </c>
      <c r="M47" s="3">
        <v>44986</v>
      </c>
      <c r="N47" s="3">
        <v>45689</v>
      </c>
      <c r="O47" s="2">
        <f>EDATE(J47,Parametri!$D$2)</f>
        <v>47027</v>
      </c>
      <c r="P47" s="2">
        <f>EDATE(K47,Parametri!$D$3)</f>
        <v>46419</v>
      </c>
      <c r="Q47" s="2">
        <f>EDATE(L47,Parametri!$D$4)</f>
        <v>46296</v>
      </c>
      <c r="R47" s="2">
        <f>EDATE(M47,Parametri!$D$5)</f>
        <v>46082</v>
      </c>
      <c r="S47" s="2">
        <f>EDATE(N47,Parametri!$D$6)</f>
        <v>47515</v>
      </c>
      <c r="T47" t="str">
        <f t="shared" si="4"/>
        <v>Complet</v>
      </c>
    </row>
    <row r="48" spans="1:20" x14ac:dyDescent="0.3">
      <c r="A48" s="6" t="s">
        <v>78</v>
      </c>
      <c r="B48" s="6">
        <v>869</v>
      </c>
      <c r="C48" s="6" t="s">
        <v>127</v>
      </c>
      <c r="D48" s="6" t="s">
        <v>368</v>
      </c>
      <c r="E48" s="6" t="s">
        <v>309</v>
      </c>
      <c r="F48" s="6">
        <v>474</v>
      </c>
      <c r="G48" s="6" t="s">
        <v>348</v>
      </c>
      <c r="H48" s="6">
        <v>52</v>
      </c>
      <c r="I48" s="6">
        <v>44</v>
      </c>
      <c r="J48" s="3">
        <v>45658</v>
      </c>
      <c r="K48" s="3">
        <v>45323</v>
      </c>
      <c r="L48" s="3">
        <v>45992</v>
      </c>
      <c r="M48" s="3">
        <v>45717</v>
      </c>
      <c r="N48" s="3">
        <v>45689</v>
      </c>
      <c r="O48" s="2">
        <f>EDATE(J48,Parametri!$D$2)</f>
        <v>46753</v>
      </c>
      <c r="P48" s="2">
        <f>EDATE(K48,Parametri!$D$3)</f>
        <v>45870</v>
      </c>
      <c r="Q48" s="2">
        <f>EDATE(L48,Parametri!$D$4)</f>
        <v>46357</v>
      </c>
      <c r="R48" s="2">
        <f>EDATE(M48,Parametri!$D$5)</f>
        <v>46813</v>
      </c>
      <c r="S48" s="2">
        <f>EDATE(N48,Parametri!$D$6)</f>
        <v>47515</v>
      </c>
      <c r="T48" t="str">
        <f t="shared" si="4"/>
        <v>Complet</v>
      </c>
    </row>
    <row r="49" spans="1:20" x14ac:dyDescent="0.3">
      <c r="A49" s="6" t="s">
        <v>95</v>
      </c>
      <c r="B49" s="6">
        <v>7147</v>
      </c>
      <c r="C49" s="6" t="s">
        <v>127</v>
      </c>
      <c r="D49" s="6" t="s">
        <v>369</v>
      </c>
      <c r="E49" s="6" t="s">
        <v>361</v>
      </c>
      <c r="F49" s="6">
        <v>381</v>
      </c>
      <c r="G49" s="6" t="s">
        <v>354</v>
      </c>
      <c r="H49" s="6">
        <v>52</v>
      </c>
      <c r="I49" s="6">
        <v>42</v>
      </c>
      <c r="J49" s="3">
        <v>46054</v>
      </c>
      <c r="K49" s="3">
        <v>45870</v>
      </c>
      <c r="L49" s="3">
        <v>45931</v>
      </c>
      <c r="M49" s="3">
        <v>44986</v>
      </c>
      <c r="N49" s="3">
        <v>45323</v>
      </c>
      <c r="O49" s="2">
        <f>EDATE(J49,Parametri!$D$2)</f>
        <v>47150</v>
      </c>
      <c r="P49" s="2">
        <f>EDATE(K49,Parametri!$D$3)</f>
        <v>46419</v>
      </c>
      <c r="Q49" s="2">
        <f>EDATE(L49,Parametri!$D$4)</f>
        <v>46296</v>
      </c>
      <c r="R49" s="2">
        <f>EDATE(M49,Parametri!$D$5)</f>
        <v>46082</v>
      </c>
      <c r="S49" s="2">
        <f>EDATE(N49,Parametri!$D$6)</f>
        <v>47150</v>
      </c>
      <c r="T49" t="str">
        <f t="shared" si="4"/>
        <v>Complet</v>
      </c>
    </row>
    <row r="50" spans="1:20" x14ac:dyDescent="0.3">
      <c r="A50" s="6" t="s">
        <v>95</v>
      </c>
      <c r="B50" s="6">
        <v>7147</v>
      </c>
      <c r="C50" s="6" t="s">
        <v>127</v>
      </c>
      <c r="D50" s="6" t="s">
        <v>369</v>
      </c>
      <c r="E50" s="6" t="s">
        <v>309</v>
      </c>
      <c r="F50" s="6">
        <v>467</v>
      </c>
      <c r="G50" s="6" t="s">
        <v>354</v>
      </c>
      <c r="H50" s="6">
        <v>52</v>
      </c>
      <c r="I50" s="6">
        <v>42</v>
      </c>
      <c r="J50" s="3">
        <f t="shared" ref="J50:N51" si="5">J49</f>
        <v>46054</v>
      </c>
      <c r="K50" s="3">
        <f t="shared" si="5"/>
        <v>45870</v>
      </c>
      <c r="L50" s="3">
        <f t="shared" si="5"/>
        <v>45931</v>
      </c>
      <c r="M50" s="3">
        <f t="shared" si="5"/>
        <v>44986</v>
      </c>
      <c r="N50" s="3">
        <f t="shared" si="5"/>
        <v>45323</v>
      </c>
      <c r="O50" s="2">
        <f>EDATE(J50,Parametri!$D$2)</f>
        <v>47150</v>
      </c>
      <c r="P50" s="2">
        <f>EDATE(K50,Parametri!$D$3)</f>
        <v>46419</v>
      </c>
      <c r="Q50" s="2">
        <f>EDATE(L50,Parametri!$D$4)</f>
        <v>46296</v>
      </c>
      <c r="R50" s="2">
        <f>EDATE(M50,Parametri!$D$5)</f>
        <v>46082</v>
      </c>
      <c r="S50" s="2">
        <f>EDATE(N50,Parametri!$D$6)</f>
        <v>47150</v>
      </c>
      <c r="T50" t="str">
        <f t="shared" si="4"/>
        <v>Complet</v>
      </c>
    </row>
    <row r="51" spans="1:20" x14ac:dyDescent="0.3">
      <c r="A51" s="6" t="s">
        <v>95</v>
      </c>
      <c r="B51" s="6">
        <v>7147</v>
      </c>
      <c r="C51" s="6" t="s">
        <v>127</v>
      </c>
      <c r="D51" s="6" t="s">
        <v>369</v>
      </c>
      <c r="E51" s="6" t="s">
        <v>311</v>
      </c>
      <c r="F51" s="6">
        <v>741</v>
      </c>
      <c r="G51" s="6" t="s">
        <v>354</v>
      </c>
      <c r="H51" s="6">
        <v>52</v>
      </c>
      <c r="I51" s="6">
        <v>42</v>
      </c>
      <c r="J51" s="3">
        <f t="shared" si="5"/>
        <v>46054</v>
      </c>
      <c r="K51" s="3">
        <f t="shared" si="5"/>
        <v>45870</v>
      </c>
      <c r="L51" s="3">
        <f t="shared" si="5"/>
        <v>45931</v>
      </c>
      <c r="M51" s="3">
        <f t="shared" si="5"/>
        <v>44986</v>
      </c>
      <c r="N51" s="3">
        <f t="shared" si="5"/>
        <v>45323</v>
      </c>
      <c r="O51" s="2">
        <f>EDATE(J51,Parametri!$D$2)</f>
        <v>47150</v>
      </c>
      <c r="P51" s="2">
        <f>EDATE(K51,Parametri!$D$3)</f>
        <v>46419</v>
      </c>
      <c r="Q51" s="2">
        <f>EDATE(L51,Parametri!$D$4)</f>
        <v>46296</v>
      </c>
      <c r="R51" s="2">
        <f>EDATE(M51,Parametri!$D$5)</f>
        <v>46082</v>
      </c>
      <c r="S51" s="2">
        <f>EDATE(N51,Parametri!$D$6)</f>
        <v>47150</v>
      </c>
      <c r="T51" t="str">
        <f t="shared" si="4"/>
        <v>Complet</v>
      </c>
    </row>
    <row r="52" spans="1:20" x14ac:dyDescent="0.3">
      <c r="A52" s="6" t="s">
        <v>93</v>
      </c>
      <c r="B52" s="6">
        <v>7040</v>
      </c>
      <c r="C52" s="6" t="s">
        <v>129</v>
      </c>
      <c r="D52" s="6" t="s">
        <v>370</v>
      </c>
      <c r="E52" s="6" t="s">
        <v>315</v>
      </c>
      <c r="F52" s="6">
        <v>545</v>
      </c>
      <c r="G52" s="6" t="s">
        <v>249</v>
      </c>
      <c r="H52" s="6">
        <v>54</v>
      </c>
      <c r="I52" s="6">
        <v>45</v>
      </c>
      <c r="J52" s="3">
        <v>45658</v>
      </c>
      <c r="K52" s="3">
        <v>45870</v>
      </c>
      <c r="L52" s="3">
        <v>45992</v>
      </c>
      <c r="M52" s="3">
        <v>45931</v>
      </c>
      <c r="N52" s="3">
        <v>45689</v>
      </c>
      <c r="O52" s="2">
        <f>EDATE(J52,Parametri!$D$2)</f>
        <v>46753</v>
      </c>
      <c r="P52" s="2">
        <f>EDATE(K52,Parametri!$D$3)</f>
        <v>46419</v>
      </c>
      <c r="Q52" s="2">
        <f>EDATE(L52,Parametri!$D$4)</f>
        <v>46357</v>
      </c>
      <c r="R52" s="2">
        <f>EDATE(M52,Parametri!$D$5)</f>
        <v>47027</v>
      </c>
      <c r="S52" s="2">
        <f>EDATE(N52,Parametri!$D$6)</f>
        <v>47515</v>
      </c>
      <c r="T52" t="str">
        <f t="shared" si="4"/>
        <v>Complet</v>
      </c>
    </row>
    <row r="53" spans="1:20" x14ac:dyDescent="0.3">
      <c r="A53" s="6" t="s">
        <v>93</v>
      </c>
      <c r="B53" s="6">
        <v>7040</v>
      </c>
      <c r="C53" s="6" t="s">
        <v>129</v>
      </c>
      <c r="D53" s="6" t="s">
        <v>370</v>
      </c>
      <c r="E53" s="6" t="s">
        <v>323</v>
      </c>
      <c r="F53" s="6">
        <v>866</v>
      </c>
      <c r="G53" s="6" t="s">
        <v>249</v>
      </c>
      <c r="H53" s="6">
        <v>54</v>
      </c>
      <c r="I53" s="6">
        <v>45</v>
      </c>
      <c r="J53" s="3">
        <f>J52</f>
        <v>45658</v>
      </c>
      <c r="K53" s="3">
        <f>K52</f>
        <v>45870</v>
      </c>
      <c r="L53" s="3">
        <f>L52</f>
        <v>45992</v>
      </c>
      <c r="M53" s="3">
        <f>M52</f>
        <v>45931</v>
      </c>
      <c r="N53" s="3">
        <f>N52</f>
        <v>45689</v>
      </c>
      <c r="O53" s="2">
        <f>EDATE(J53,Parametri!$D$2)</f>
        <v>46753</v>
      </c>
      <c r="P53" s="2">
        <f>EDATE(K53,Parametri!$D$3)</f>
        <v>46419</v>
      </c>
      <c r="Q53" s="2">
        <f>EDATE(L53,Parametri!$D$4)</f>
        <v>46357</v>
      </c>
      <c r="R53" s="2">
        <f>EDATE(M53,Parametri!$D$5)</f>
        <v>47027</v>
      </c>
      <c r="S53" s="2">
        <f>EDATE(N53,Parametri!$D$6)</f>
        <v>47515</v>
      </c>
      <c r="T53" t="str">
        <f t="shared" si="4"/>
        <v>Complet</v>
      </c>
    </row>
    <row r="54" spans="1:20" x14ac:dyDescent="0.3">
      <c r="A54" s="6" t="s">
        <v>107</v>
      </c>
      <c r="B54" s="6">
        <v>8690</v>
      </c>
      <c r="C54" s="6" t="s">
        <v>133</v>
      </c>
      <c r="D54" s="6" t="s">
        <v>397</v>
      </c>
      <c r="E54" s="6" t="s">
        <v>319</v>
      </c>
      <c r="F54" s="6">
        <v>786</v>
      </c>
      <c r="G54" s="6" t="s">
        <v>325</v>
      </c>
      <c r="H54" s="6" t="s">
        <v>143</v>
      </c>
      <c r="I54" s="6">
        <v>42</v>
      </c>
      <c r="J54" s="3">
        <v>45566</v>
      </c>
      <c r="K54" s="3">
        <v>45870</v>
      </c>
      <c r="L54" s="3">
        <v>45717</v>
      </c>
      <c r="M54" s="3">
        <v>44378</v>
      </c>
      <c r="N54" s="3">
        <v>45689</v>
      </c>
      <c r="O54" s="2">
        <f>EDATE(J54,Parametri!$D$2)</f>
        <v>46661</v>
      </c>
      <c r="P54" s="2">
        <f>EDATE(K54,Parametri!$D$3)</f>
        <v>46419</v>
      </c>
      <c r="Q54" s="2">
        <f>EDATE(L54,Parametri!$D$4)</f>
        <v>46082</v>
      </c>
      <c r="R54" s="2">
        <f>EDATE(M54,Parametri!$D$5)</f>
        <v>45474</v>
      </c>
      <c r="S54" s="2">
        <f>EDATE(N54,Parametri!$D$6)</f>
        <v>47515</v>
      </c>
      <c r="T54" t="str">
        <f t="shared" si="4"/>
        <v>Complet</v>
      </c>
    </row>
    <row r="55" spans="1:20" x14ac:dyDescent="0.3">
      <c r="A55" s="6" t="s">
        <v>100</v>
      </c>
      <c r="B55" s="6">
        <v>7952</v>
      </c>
      <c r="C55" s="6" t="s">
        <v>242</v>
      </c>
      <c r="D55" s="6" t="s">
        <v>371</v>
      </c>
      <c r="E55" s="6" t="s">
        <v>313</v>
      </c>
      <c r="F55" s="6">
        <v>269</v>
      </c>
      <c r="G55" s="6" t="s">
        <v>325</v>
      </c>
      <c r="H55" s="6" t="s">
        <v>142</v>
      </c>
      <c r="I55" s="6">
        <v>43</v>
      </c>
      <c r="J55" s="3">
        <v>45597</v>
      </c>
      <c r="K55" s="3">
        <v>45870</v>
      </c>
      <c r="L55" s="3">
        <v>45717</v>
      </c>
      <c r="M55" s="3">
        <v>45689</v>
      </c>
      <c r="N55" s="3">
        <v>45689</v>
      </c>
      <c r="O55" s="2">
        <f>EDATE(J55,Parametri!$D$2)</f>
        <v>46692</v>
      </c>
      <c r="P55" s="2">
        <f>EDATE(K55,Parametri!$D$3)</f>
        <v>46419</v>
      </c>
      <c r="Q55" s="2">
        <f>EDATE(L55,Parametri!$D$4)</f>
        <v>46082</v>
      </c>
      <c r="R55" s="2">
        <f>EDATE(M55,Parametri!$D$5)</f>
        <v>46784</v>
      </c>
      <c r="S55" s="2">
        <f>EDATE(N55,Parametri!$D$6)</f>
        <v>47515</v>
      </c>
      <c r="T55" t="str">
        <f t="shared" si="4"/>
        <v>Complet</v>
      </c>
    </row>
    <row r="56" spans="1:20" x14ac:dyDescent="0.3">
      <c r="A56" s="6" t="s">
        <v>111</v>
      </c>
      <c r="B56" s="6">
        <v>8935</v>
      </c>
      <c r="C56" s="6" t="s">
        <v>242</v>
      </c>
      <c r="D56" s="6" t="s">
        <v>396</v>
      </c>
      <c r="E56" s="6" t="s">
        <v>313</v>
      </c>
      <c r="F56" s="6">
        <v>267</v>
      </c>
      <c r="G56" s="6" t="s">
        <v>325</v>
      </c>
      <c r="H56" s="6">
        <v>56</v>
      </c>
      <c r="I56" s="6">
        <v>44</v>
      </c>
      <c r="J56" s="3">
        <v>45566</v>
      </c>
      <c r="K56" s="3">
        <v>45566</v>
      </c>
      <c r="L56" s="3">
        <v>45901</v>
      </c>
      <c r="M56" s="3" t="s">
        <v>246</v>
      </c>
      <c r="N56" s="3">
        <v>45901</v>
      </c>
      <c r="O56" s="2">
        <f>EDATE(J56,Parametri!$D$2)</f>
        <v>46661</v>
      </c>
      <c r="P56" s="2">
        <f>EDATE(K56,Parametri!$D$3)</f>
        <v>46113</v>
      </c>
      <c r="Q56" s="2">
        <f>EDATE(L56,Parametri!$D$4)</f>
        <v>46266</v>
      </c>
      <c r="R56" s="2" t="e">
        <f>EDATE(M56,Parametri!$D$5)</f>
        <v>#VALUE!</v>
      </c>
      <c r="S56" s="2">
        <f>EDATE(N56,Parametri!$D$6)</f>
        <v>47727</v>
      </c>
      <c r="T56" t="str">
        <f t="shared" si="4"/>
        <v>Complet</v>
      </c>
    </row>
    <row r="57" spans="1:20" x14ac:dyDescent="0.3">
      <c r="A57" s="6" t="s">
        <v>79</v>
      </c>
      <c r="B57" s="6">
        <v>1070</v>
      </c>
      <c r="C57" s="6" t="s">
        <v>125</v>
      </c>
      <c r="D57" s="6" t="s">
        <v>374</v>
      </c>
      <c r="E57" s="6" t="s">
        <v>321</v>
      </c>
      <c r="F57" s="6">
        <v>66</v>
      </c>
      <c r="G57" s="6" t="s">
        <v>325</v>
      </c>
      <c r="H57" s="6">
        <v>50</v>
      </c>
      <c r="I57" s="6">
        <v>42</v>
      </c>
      <c r="J57" s="3">
        <v>46054</v>
      </c>
      <c r="K57" s="3">
        <v>45870</v>
      </c>
      <c r="L57" s="3">
        <v>45717</v>
      </c>
      <c r="M57" s="3">
        <v>44986</v>
      </c>
      <c r="N57" s="3">
        <v>45689</v>
      </c>
      <c r="O57" s="2">
        <f>EDATE(J57,Parametri!$D$2)</f>
        <v>47150</v>
      </c>
      <c r="P57" s="2">
        <f>EDATE(K57,Parametri!$D$3)</f>
        <v>46419</v>
      </c>
      <c r="Q57" s="2">
        <f>EDATE(L57,Parametri!$D$4)</f>
        <v>46082</v>
      </c>
      <c r="R57" s="2">
        <f>EDATE(M57,Parametri!$D$5)</f>
        <v>46082</v>
      </c>
      <c r="S57" s="2">
        <f>EDATE(N57,Parametri!$D$6)</f>
        <v>47515</v>
      </c>
      <c r="T57" t="str">
        <f t="shared" si="4"/>
        <v>Complet</v>
      </c>
    </row>
    <row r="58" spans="1:20" x14ac:dyDescent="0.3">
      <c r="A58" s="6" t="s">
        <v>96</v>
      </c>
      <c r="B58" s="6">
        <v>7385</v>
      </c>
      <c r="C58" s="6" t="s">
        <v>127</v>
      </c>
      <c r="D58" s="6" t="s">
        <v>372</v>
      </c>
      <c r="E58" s="6" t="s">
        <v>309</v>
      </c>
      <c r="F58" s="6">
        <v>471</v>
      </c>
      <c r="G58" s="6" t="s">
        <v>373</v>
      </c>
      <c r="H58" s="6">
        <v>62</v>
      </c>
      <c r="I58" s="6">
        <v>44</v>
      </c>
      <c r="J58" s="3">
        <v>45658</v>
      </c>
      <c r="K58" s="3">
        <v>45870</v>
      </c>
      <c r="L58" s="3">
        <v>45717</v>
      </c>
      <c r="M58" s="3">
        <v>45689</v>
      </c>
      <c r="N58" s="3">
        <v>45689</v>
      </c>
      <c r="O58" s="2">
        <f>EDATE(J58,Parametri!$D$2)</f>
        <v>46753</v>
      </c>
      <c r="P58" s="2">
        <f>EDATE(K58,Parametri!$D$3)</f>
        <v>46419</v>
      </c>
      <c r="Q58" s="2">
        <f>EDATE(L58,Parametri!$D$4)</f>
        <v>46082</v>
      </c>
      <c r="R58" s="2">
        <f>EDATE(M58,Parametri!$D$5)</f>
        <v>46784</v>
      </c>
      <c r="S58" s="2">
        <f>EDATE(N58,Parametri!$D$6)</f>
        <v>47515</v>
      </c>
      <c r="T58" t="str">
        <f t="shared" si="4"/>
        <v>Complet</v>
      </c>
    </row>
    <row r="59" spans="1:20" x14ac:dyDescent="0.3">
      <c r="A59" s="6" t="s">
        <v>89</v>
      </c>
      <c r="B59" s="6">
        <v>5599</v>
      </c>
      <c r="C59" s="6" t="s">
        <v>125</v>
      </c>
      <c r="D59" s="6" t="s">
        <v>375</v>
      </c>
      <c r="E59" s="6" t="s">
        <v>309</v>
      </c>
      <c r="F59" s="6">
        <v>474</v>
      </c>
      <c r="G59" s="6" t="s">
        <v>348</v>
      </c>
      <c r="H59" s="6" t="s">
        <v>143</v>
      </c>
      <c r="I59" s="6">
        <v>42</v>
      </c>
      <c r="J59" s="3">
        <v>45658</v>
      </c>
      <c r="K59" s="3">
        <v>45870</v>
      </c>
      <c r="L59" s="3">
        <v>45931</v>
      </c>
      <c r="M59" s="3">
        <v>45689</v>
      </c>
      <c r="N59" s="3">
        <v>45689</v>
      </c>
      <c r="O59" s="2">
        <f>EDATE(J59,Parametri!$D$2)</f>
        <v>46753</v>
      </c>
      <c r="P59" s="2">
        <f>EDATE(K59,Parametri!$D$3)</f>
        <v>46419</v>
      </c>
      <c r="Q59" s="2">
        <f>EDATE(L59,Parametri!$D$4)</f>
        <v>46296</v>
      </c>
      <c r="R59" s="2">
        <f>EDATE(M59,Parametri!$D$5)</f>
        <v>46784</v>
      </c>
      <c r="S59" s="2">
        <f>EDATE(N59,Parametri!$D$6)</f>
        <v>47515</v>
      </c>
      <c r="T59" t="str">
        <f t="shared" si="4"/>
        <v>Complet</v>
      </c>
    </row>
    <row r="60" spans="1:20" x14ac:dyDescent="0.3">
      <c r="A60" s="6" t="s">
        <v>116</v>
      </c>
      <c r="B60" s="6">
        <v>9182</v>
      </c>
      <c r="C60" s="6" t="s">
        <v>125</v>
      </c>
      <c r="D60" s="6" t="s">
        <v>376</v>
      </c>
      <c r="E60" s="6" t="s">
        <v>361</v>
      </c>
      <c r="F60" s="6">
        <v>365</v>
      </c>
      <c r="G60" s="6" t="s">
        <v>342</v>
      </c>
      <c r="H60" s="6" t="s">
        <v>143</v>
      </c>
      <c r="I60" s="6">
        <v>44</v>
      </c>
      <c r="J60" s="3">
        <v>45566</v>
      </c>
      <c r="K60" s="3">
        <v>45870</v>
      </c>
      <c r="L60" s="3">
        <v>45931</v>
      </c>
      <c r="M60" s="3">
        <v>45017</v>
      </c>
      <c r="N60" s="3"/>
      <c r="O60" s="2">
        <f>EDATE(J60,Parametri!$D$2)</f>
        <v>46661</v>
      </c>
      <c r="P60" s="2">
        <f>EDATE(K60,Parametri!$D$3)</f>
        <v>46419</v>
      </c>
      <c r="Q60" s="2">
        <f>EDATE(L60,Parametri!$D$4)</f>
        <v>46296</v>
      </c>
      <c r="R60" s="2">
        <f>EDATE(M60,Parametri!$D$5)</f>
        <v>46113</v>
      </c>
      <c r="S60" s="2">
        <f>EDATE(N60,Parametri!$D$6)</f>
        <v>1827</v>
      </c>
      <c r="T60" t="str">
        <f t="shared" si="4"/>
        <v>Complet</v>
      </c>
    </row>
    <row r="61" spans="1:20" x14ac:dyDescent="0.3">
      <c r="A61" s="6" t="s">
        <v>116</v>
      </c>
      <c r="B61" s="6">
        <v>9182</v>
      </c>
      <c r="C61" s="6" t="s">
        <v>125</v>
      </c>
      <c r="D61" s="6" t="s">
        <v>376</v>
      </c>
      <c r="E61" s="6" t="s">
        <v>309</v>
      </c>
      <c r="F61" s="6">
        <v>468</v>
      </c>
      <c r="G61" s="6" t="s">
        <v>342</v>
      </c>
      <c r="H61" s="6" t="s">
        <v>143</v>
      </c>
      <c r="I61" s="6">
        <v>44</v>
      </c>
      <c r="J61" s="3">
        <f t="shared" ref="J61:N62" si="6">J60</f>
        <v>45566</v>
      </c>
      <c r="K61" s="3">
        <f t="shared" si="6"/>
        <v>45870</v>
      </c>
      <c r="L61" s="3">
        <f t="shared" si="6"/>
        <v>45931</v>
      </c>
      <c r="M61" s="3">
        <f t="shared" si="6"/>
        <v>45017</v>
      </c>
      <c r="N61" s="3">
        <f t="shared" si="6"/>
        <v>0</v>
      </c>
      <c r="O61" s="2">
        <f>EDATE(J61,Parametri!$D$2)</f>
        <v>46661</v>
      </c>
      <c r="P61" s="2">
        <f>EDATE(K61,Parametri!$D$3)</f>
        <v>46419</v>
      </c>
      <c r="Q61" s="2">
        <f>EDATE(L61,Parametri!$D$4)</f>
        <v>46296</v>
      </c>
      <c r="R61" s="2">
        <f>EDATE(M61,Parametri!$D$5)</f>
        <v>46113</v>
      </c>
      <c r="S61" s="2">
        <f>EDATE(N61,Parametri!$D$6)</f>
        <v>1827</v>
      </c>
      <c r="T61" t="str">
        <f t="shared" si="4"/>
        <v>Complet</v>
      </c>
    </row>
    <row r="62" spans="1:20" x14ac:dyDescent="0.3">
      <c r="A62" s="6" t="s">
        <v>116</v>
      </c>
      <c r="B62" s="6">
        <v>9182</v>
      </c>
      <c r="C62" s="6" t="s">
        <v>125</v>
      </c>
      <c r="D62" s="6" t="s">
        <v>376</v>
      </c>
      <c r="E62" s="6" t="s">
        <v>311</v>
      </c>
      <c r="F62" s="6">
        <v>767</v>
      </c>
      <c r="G62" s="6" t="s">
        <v>342</v>
      </c>
      <c r="H62" s="6" t="s">
        <v>143</v>
      </c>
      <c r="I62" s="6">
        <v>44</v>
      </c>
      <c r="J62" s="3">
        <f t="shared" si="6"/>
        <v>45566</v>
      </c>
      <c r="K62" s="3">
        <f t="shared" si="6"/>
        <v>45870</v>
      </c>
      <c r="L62" s="3">
        <f t="shared" si="6"/>
        <v>45931</v>
      </c>
      <c r="M62" s="3">
        <f t="shared" si="6"/>
        <v>45017</v>
      </c>
      <c r="N62" s="3">
        <f t="shared" si="6"/>
        <v>0</v>
      </c>
      <c r="O62" s="2">
        <f>EDATE(J62,Parametri!$D$2)</f>
        <v>46661</v>
      </c>
      <c r="P62" s="2">
        <f>EDATE(K62,Parametri!$D$3)</f>
        <v>46419</v>
      </c>
      <c r="Q62" s="2">
        <f>EDATE(L62,Parametri!$D$4)</f>
        <v>46296</v>
      </c>
      <c r="R62" s="2">
        <f>EDATE(M62,Parametri!$D$5)</f>
        <v>46113</v>
      </c>
      <c r="S62" s="2">
        <f>EDATE(N62,Parametri!$D$6)</f>
        <v>1827</v>
      </c>
      <c r="T62" t="str">
        <f t="shared" si="4"/>
        <v>Complet</v>
      </c>
    </row>
    <row r="63" spans="1:20" x14ac:dyDescent="0.3">
      <c r="A63" s="6" t="s">
        <v>80</v>
      </c>
      <c r="B63" s="6">
        <v>1147</v>
      </c>
      <c r="C63" s="6" t="s">
        <v>126</v>
      </c>
      <c r="D63" s="6" t="s">
        <v>377</v>
      </c>
      <c r="E63" s="6" t="s">
        <v>324</v>
      </c>
      <c r="F63" s="6">
        <v>999</v>
      </c>
      <c r="G63" s="6" t="s">
        <v>343</v>
      </c>
      <c r="H63" s="6">
        <v>48</v>
      </c>
      <c r="I63" s="6">
        <v>41</v>
      </c>
      <c r="J63" s="3" t="s">
        <v>246</v>
      </c>
      <c r="K63" s="3">
        <v>45717</v>
      </c>
      <c r="L63" s="3">
        <v>45566</v>
      </c>
      <c r="M63" s="3">
        <v>44986</v>
      </c>
      <c r="N63" s="3" t="s">
        <v>246</v>
      </c>
      <c r="O63" s="2" t="e">
        <f>EDATE(J63,Parametri!$D$2)</f>
        <v>#VALUE!</v>
      </c>
      <c r="P63" s="2">
        <f>EDATE(K63,Parametri!$D$3)</f>
        <v>46266</v>
      </c>
      <c r="Q63" s="2">
        <f>EDATE(L63,Parametri!$D$4)</f>
        <v>45931</v>
      </c>
      <c r="R63" s="2">
        <f>EDATE(M63,Parametri!$D$5)</f>
        <v>46082</v>
      </c>
      <c r="S63" s="2" t="e">
        <f>EDATE(N63,Parametri!$D$6)</f>
        <v>#VALUE!</v>
      </c>
      <c r="T63" t="str">
        <f t="shared" si="4"/>
        <v>Complet</v>
      </c>
    </row>
    <row r="64" spans="1:20" x14ac:dyDescent="0.3">
      <c r="A64" s="6" t="s">
        <v>106</v>
      </c>
      <c r="B64" s="6">
        <v>8665</v>
      </c>
      <c r="C64" s="6" t="s">
        <v>129</v>
      </c>
      <c r="D64" s="6" t="s">
        <v>378</v>
      </c>
      <c r="E64" s="6" t="s">
        <v>319</v>
      </c>
      <c r="F64" s="6">
        <v>530</v>
      </c>
      <c r="G64" s="6" t="s">
        <v>249</v>
      </c>
      <c r="H64" s="6" t="s">
        <v>147</v>
      </c>
      <c r="I64" s="6">
        <v>43</v>
      </c>
      <c r="J64" s="3">
        <v>45566</v>
      </c>
      <c r="K64" s="3">
        <v>45566</v>
      </c>
      <c r="L64" s="3">
        <v>45931</v>
      </c>
      <c r="M64" s="3">
        <v>45901</v>
      </c>
      <c r="N64" s="3">
        <v>45717</v>
      </c>
      <c r="O64" s="2">
        <f>EDATE(J64,Parametri!$D$2)</f>
        <v>46661</v>
      </c>
      <c r="P64" s="2">
        <f>EDATE(K64,Parametri!$D$3)</f>
        <v>46113</v>
      </c>
      <c r="Q64" s="2">
        <f>EDATE(L64,Parametri!$D$4)</f>
        <v>46296</v>
      </c>
      <c r="R64" s="2">
        <f>EDATE(M64,Parametri!$D$5)</f>
        <v>46997</v>
      </c>
      <c r="S64" s="2">
        <f>EDATE(N64,Parametri!$D$6)</f>
        <v>47543</v>
      </c>
      <c r="T64" t="str">
        <f t="shared" ref="T64:T80" si="7">IF(COUNTIF(O64:S64,"nu")&gt;0,"Incomplet","Complet")</f>
        <v>Complet</v>
      </c>
    </row>
    <row r="65" spans="1:20" x14ac:dyDescent="0.3">
      <c r="A65" s="6" t="s">
        <v>102</v>
      </c>
      <c r="B65" s="6">
        <v>8270</v>
      </c>
      <c r="C65" s="6" t="s">
        <v>132</v>
      </c>
      <c r="D65" s="6" t="s">
        <v>379</v>
      </c>
      <c r="E65" s="6" t="s">
        <v>319</v>
      </c>
      <c r="F65" s="6">
        <v>317</v>
      </c>
      <c r="G65" s="6" t="s">
        <v>325</v>
      </c>
      <c r="H65" s="6" t="s">
        <v>144</v>
      </c>
      <c r="I65" s="6">
        <v>40</v>
      </c>
      <c r="J65" s="3">
        <v>46054</v>
      </c>
      <c r="K65" s="3">
        <v>45870</v>
      </c>
      <c r="L65" s="3">
        <v>45778</v>
      </c>
      <c r="M65" s="3">
        <v>44986</v>
      </c>
      <c r="N65" s="3">
        <v>45689</v>
      </c>
      <c r="O65" s="2">
        <f>EDATE(J65,Parametri!$D$2)</f>
        <v>47150</v>
      </c>
      <c r="P65" s="2">
        <f>EDATE(K65,Parametri!$D$3)</f>
        <v>46419</v>
      </c>
      <c r="Q65" s="2">
        <f>EDATE(L65,Parametri!$D$4)</f>
        <v>46143</v>
      </c>
      <c r="R65" s="2">
        <f>EDATE(M65,Parametri!$D$5)</f>
        <v>46082</v>
      </c>
      <c r="S65" s="2">
        <f>EDATE(N65,Parametri!$D$6)</f>
        <v>47515</v>
      </c>
      <c r="T65" t="str">
        <f t="shared" si="7"/>
        <v>Complet</v>
      </c>
    </row>
    <row r="66" spans="1:20" x14ac:dyDescent="0.3">
      <c r="A66" s="6" t="s">
        <v>102</v>
      </c>
      <c r="B66" s="6">
        <v>8270</v>
      </c>
      <c r="C66" s="6" t="s">
        <v>132</v>
      </c>
      <c r="D66" s="6" t="s">
        <v>379</v>
      </c>
      <c r="E66" s="6" t="s">
        <v>319</v>
      </c>
      <c r="F66" s="6">
        <v>468</v>
      </c>
      <c r="G66" s="6" t="s">
        <v>325</v>
      </c>
      <c r="H66" s="6" t="s">
        <v>144</v>
      </c>
      <c r="I66" s="6">
        <v>40</v>
      </c>
      <c r="J66" s="3">
        <f>J65</f>
        <v>46054</v>
      </c>
      <c r="K66" s="3">
        <f>K65</f>
        <v>45870</v>
      </c>
      <c r="L66" s="3">
        <f>L65</f>
        <v>45778</v>
      </c>
      <c r="M66" s="3">
        <f>M65</f>
        <v>44986</v>
      </c>
      <c r="N66" s="3">
        <f>N65</f>
        <v>45689</v>
      </c>
      <c r="O66" s="2">
        <f>EDATE(J66,Parametri!$D$2)</f>
        <v>47150</v>
      </c>
      <c r="P66" s="2">
        <f>EDATE(K66,Parametri!$D$3)</f>
        <v>46419</v>
      </c>
      <c r="Q66" s="2">
        <f>EDATE(L66,Parametri!$D$4)</f>
        <v>46143</v>
      </c>
      <c r="R66" s="2">
        <f>EDATE(M66,Parametri!$D$5)</f>
        <v>46082</v>
      </c>
      <c r="S66" s="2">
        <f>EDATE(N66,Parametri!$D$6)</f>
        <v>47515</v>
      </c>
      <c r="T66" t="str">
        <f t="shared" si="7"/>
        <v>Complet</v>
      </c>
    </row>
    <row r="67" spans="1:20" x14ac:dyDescent="0.3">
      <c r="A67" s="6" t="s">
        <v>90</v>
      </c>
      <c r="B67" s="6">
        <v>5924</v>
      </c>
      <c r="C67" s="6" t="s">
        <v>133</v>
      </c>
      <c r="D67" s="6" t="s">
        <v>380</v>
      </c>
      <c r="E67" s="6" t="s">
        <v>319</v>
      </c>
      <c r="F67" s="6">
        <v>531</v>
      </c>
      <c r="G67" s="6" t="s">
        <v>325</v>
      </c>
      <c r="H67" s="6" t="s">
        <v>138</v>
      </c>
      <c r="I67" s="6">
        <v>45</v>
      </c>
      <c r="J67" s="3">
        <v>46054</v>
      </c>
      <c r="K67" s="3">
        <v>45870</v>
      </c>
      <c r="L67" s="3">
        <v>45717</v>
      </c>
      <c r="M67" s="3">
        <v>44986</v>
      </c>
      <c r="N67" s="3">
        <v>45689</v>
      </c>
      <c r="O67" s="2">
        <f>EDATE(J67,Parametri!$D$2)</f>
        <v>47150</v>
      </c>
      <c r="P67" s="2">
        <f>EDATE(K67,Parametri!$D$3)</f>
        <v>46419</v>
      </c>
      <c r="Q67" s="2">
        <f>EDATE(L67,Parametri!$D$4)</f>
        <v>46082</v>
      </c>
      <c r="R67" s="2">
        <f>EDATE(M67,Parametri!$D$5)</f>
        <v>46082</v>
      </c>
      <c r="S67" s="2">
        <f>EDATE(N67,Parametri!$D$6)</f>
        <v>47515</v>
      </c>
      <c r="T67" t="str">
        <f t="shared" si="7"/>
        <v>Complet</v>
      </c>
    </row>
    <row r="68" spans="1:20" x14ac:dyDescent="0.3">
      <c r="A68" s="6" t="s">
        <v>103</v>
      </c>
      <c r="B68" s="6">
        <v>8350</v>
      </c>
      <c r="C68" s="6" t="s">
        <v>242</v>
      </c>
      <c r="D68" s="6" t="s">
        <v>381</v>
      </c>
      <c r="E68" s="6" t="s">
        <v>313</v>
      </c>
      <c r="F68" s="6">
        <v>294</v>
      </c>
      <c r="G68" s="6" t="s">
        <v>325</v>
      </c>
      <c r="H68" s="6" t="s">
        <v>145</v>
      </c>
      <c r="I68" s="6">
        <v>43</v>
      </c>
      <c r="J68" s="3">
        <v>45689</v>
      </c>
      <c r="K68" s="3">
        <v>45870</v>
      </c>
      <c r="L68" s="3">
        <v>45748</v>
      </c>
      <c r="M68" s="3" t="s">
        <v>246</v>
      </c>
      <c r="N68" s="3">
        <v>43983</v>
      </c>
      <c r="O68" s="2">
        <f>EDATE(J68,Parametri!$D$2)</f>
        <v>46784</v>
      </c>
      <c r="P68" s="2">
        <f>EDATE(K68,Parametri!$D$3)</f>
        <v>46419</v>
      </c>
      <c r="Q68" s="2">
        <f>EDATE(L68,Parametri!$D$4)</f>
        <v>46113</v>
      </c>
      <c r="R68" s="2" t="e">
        <f>EDATE(M68,Parametri!$D$5)</f>
        <v>#VALUE!</v>
      </c>
      <c r="S68" s="2">
        <f>EDATE(N68,Parametri!$D$6)</f>
        <v>45809</v>
      </c>
      <c r="T68" t="str">
        <f t="shared" si="7"/>
        <v>Complet</v>
      </c>
    </row>
    <row r="69" spans="1:20" x14ac:dyDescent="0.3">
      <c r="A69" s="6" t="s">
        <v>105</v>
      </c>
      <c r="B69" s="6">
        <v>8663</v>
      </c>
      <c r="C69" s="6" t="s">
        <v>242</v>
      </c>
      <c r="D69" s="6" t="s">
        <v>398</v>
      </c>
      <c r="E69" s="6" t="s">
        <v>316</v>
      </c>
      <c r="F69" s="6">
        <v>393</v>
      </c>
      <c r="G69" s="6" t="s">
        <v>325</v>
      </c>
      <c r="H69" s="6" t="s">
        <v>143</v>
      </c>
      <c r="I69" s="6">
        <v>43</v>
      </c>
      <c r="J69" s="3">
        <v>45566</v>
      </c>
      <c r="K69" s="3">
        <v>45689</v>
      </c>
      <c r="L69" s="3">
        <v>45717</v>
      </c>
      <c r="M69" s="3" t="s">
        <v>246</v>
      </c>
      <c r="N69" s="3">
        <v>45689</v>
      </c>
      <c r="O69" s="2">
        <f>EDATE(J69,Parametri!$D$2)</f>
        <v>46661</v>
      </c>
      <c r="P69" s="2">
        <f>EDATE(K69,Parametri!$D$3)</f>
        <v>46235</v>
      </c>
      <c r="Q69" s="2">
        <f>EDATE(L69,Parametri!$D$4)</f>
        <v>46082</v>
      </c>
      <c r="R69" s="2" t="e">
        <f>EDATE(M69,Parametri!$D$5)</f>
        <v>#VALUE!</v>
      </c>
      <c r="S69" s="2">
        <f>EDATE(N69,Parametri!$D$6)</f>
        <v>47515</v>
      </c>
      <c r="T69" t="str">
        <f t="shared" si="7"/>
        <v>Complet</v>
      </c>
    </row>
    <row r="70" spans="1:20" x14ac:dyDescent="0.3">
      <c r="A70" s="6" t="s">
        <v>83</v>
      </c>
      <c r="B70" s="6">
        <v>3050</v>
      </c>
      <c r="C70" s="6" t="s">
        <v>125</v>
      </c>
      <c r="D70" s="6" t="s">
        <v>382</v>
      </c>
      <c r="E70" s="6" t="s">
        <v>309</v>
      </c>
      <c r="F70" s="6">
        <v>471</v>
      </c>
      <c r="G70" s="6" t="s">
        <v>373</v>
      </c>
      <c r="H70" s="6">
        <v>52</v>
      </c>
      <c r="I70" s="6">
        <v>42</v>
      </c>
      <c r="J70" s="3">
        <v>45658</v>
      </c>
      <c r="K70" s="3">
        <v>45870</v>
      </c>
      <c r="L70" s="3">
        <v>45931</v>
      </c>
      <c r="M70" s="3">
        <v>44986</v>
      </c>
      <c r="N70" s="3"/>
      <c r="O70" s="2">
        <f>EDATE(J70,Parametri!$D$2)</f>
        <v>46753</v>
      </c>
      <c r="P70" s="2">
        <f>EDATE(K70,Parametri!$D$3)</f>
        <v>46419</v>
      </c>
      <c r="Q70" s="2">
        <f>EDATE(L70,Parametri!$D$4)</f>
        <v>46296</v>
      </c>
      <c r="R70" s="2">
        <f>EDATE(M70,Parametri!$D$5)</f>
        <v>46082</v>
      </c>
      <c r="S70" s="2">
        <f>EDATE(N70,Parametri!$D$6)</f>
        <v>1827</v>
      </c>
      <c r="T70" t="str">
        <f t="shared" si="7"/>
        <v>Complet</v>
      </c>
    </row>
    <row r="71" spans="1:20" x14ac:dyDescent="0.3">
      <c r="A71" s="6" t="s">
        <v>75</v>
      </c>
      <c r="B71" s="6">
        <v>222</v>
      </c>
      <c r="C71" s="6" t="s">
        <v>125</v>
      </c>
      <c r="D71" s="6" t="s">
        <v>401</v>
      </c>
      <c r="E71" s="6" t="s">
        <v>361</v>
      </c>
      <c r="F71" s="6">
        <v>377</v>
      </c>
      <c r="G71" s="6" t="s">
        <v>373</v>
      </c>
      <c r="H71" s="6">
        <v>54</v>
      </c>
      <c r="I71" s="6">
        <v>43</v>
      </c>
      <c r="J71" s="3">
        <v>46082</v>
      </c>
      <c r="K71" s="3">
        <v>45748</v>
      </c>
      <c r="L71" s="3">
        <v>45748</v>
      </c>
      <c r="M71" s="3">
        <v>44986</v>
      </c>
      <c r="N71" s="3">
        <v>45717</v>
      </c>
      <c r="O71" s="2">
        <f>EDATE(J71,Parametri!$D$2)</f>
        <v>47178</v>
      </c>
      <c r="P71" s="2">
        <f>EDATE(K71,Parametri!$D$2)</f>
        <v>46844</v>
      </c>
      <c r="Q71" s="2">
        <f>EDATE(L71,Parametri!$D$4)</f>
        <v>46113</v>
      </c>
      <c r="R71" s="2">
        <f>EDATE(M71,Parametri!$D$2)</f>
        <v>46082</v>
      </c>
      <c r="S71" s="2">
        <f>EDATE(N71,Parametri!$D$2)</f>
        <v>46813</v>
      </c>
      <c r="T71" t="str">
        <f t="shared" si="7"/>
        <v>Complet</v>
      </c>
    </row>
    <row r="72" spans="1:20" x14ac:dyDescent="0.3">
      <c r="A72" s="6" t="s">
        <v>75</v>
      </c>
      <c r="B72" s="6">
        <v>222</v>
      </c>
      <c r="C72" s="6" t="s">
        <v>125</v>
      </c>
      <c r="D72" s="6" t="s">
        <v>401</v>
      </c>
      <c r="E72" s="6" t="s">
        <v>309</v>
      </c>
      <c r="F72" s="6">
        <v>464</v>
      </c>
      <c r="G72" s="6" t="s">
        <v>373</v>
      </c>
      <c r="H72" s="6">
        <v>54</v>
      </c>
      <c r="I72" s="6">
        <v>43</v>
      </c>
      <c r="J72" s="3">
        <f t="shared" ref="J72:N73" si="8">J71</f>
        <v>46082</v>
      </c>
      <c r="K72" s="3">
        <f t="shared" si="8"/>
        <v>45748</v>
      </c>
      <c r="L72" s="3">
        <f t="shared" si="8"/>
        <v>45748</v>
      </c>
      <c r="M72" s="3">
        <f t="shared" si="8"/>
        <v>44986</v>
      </c>
      <c r="N72" s="3">
        <f t="shared" si="8"/>
        <v>45717</v>
      </c>
      <c r="O72" s="2">
        <f>EDATE(J72,Parametri!$D$2)</f>
        <v>47178</v>
      </c>
      <c r="P72" s="2">
        <f>EDATE(K72,Parametri!$D$2)</f>
        <v>46844</v>
      </c>
      <c r="Q72" s="2">
        <f>EDATE(L72,Parametri!$D$4)</f>
        <v>46113</v>
      </c>
      <c r="R72" s="2">
        <f>EDATE(M72,Parametri!$D$2)</f>
        <v>46082</v>
      </c>
      <c r="S72" s="2">
        <f>EDATE(N72,Parametri!$D$2)</f>
        <v>46813</v>
      </c>
      <c r="T72" t="str">
        <f t="shared" si="7"/>
        <v>Complet</v>
      </c>
    </row>
    <row r="73" spans="1:20" x14ac:dyDescent="0.3">
      <c r="A73" s="6" t="s">
        <v>75</v>
      </c>
      <c r="B73" s="6">
        <v>222</v>
      </c>
      <c r="C73" s="6" t="s">
        <v>125</v>
      </c>
      <c r="D73" s="6" t="s">
        <v>401</v>
      </c>
      <c r="E73" s="6" t="s">
        <v>311</v>
      </c>
      <c r="F73" s="6">
        <v>759</v>
      </c>
      <c r="G73" s="6" t="s">
        <v>373</v>
      </c>
      <c r="H73" s="6">
        <v>54</v>
      </c>
      <c r="I73" s="6">
        <v>43</v>
      </c>
      <c r="J73" s="3">
        <f t="shared" si="8"/>
        <v>46082</v>
      </c>
      <c r="K73" s="3">
        <f t="shared" si="8"/>
        <v>45748</v>
      </c>
      <c r="L73" s="3">
        <f t="shared" si="8"/>
        <v>45748</v>
      </c>
      <c r="M73" s="3">
        <f t="shared" si="8"/>
        <v>44986</v>
      </c>
      <c r="N73" s="3">
        <f t="shared" si="8"/>
        <v>45717</v>
      </c>
      <c r="O73" s="2">
        <f>EDATE(J73,Parametri!$D$2)</f>
        <v>47178</v>
      </c>
      <c r="P73" s="2">
        <f>EDATE(K73,Parametri!$D$2)</f>
        <v>46844</v>
      </c>
      <c r="Q73" s="2">
        <f>EDATE(L73,Parametri!$D$4)</f>
        <v>46113</v>
      </c>
      <c r="R73" s="2">
        <f>EDATE(M73,Parametri!$D$2)</f>
        <v>46082</v>
      </c>
      <c r="S73" s="2">
        <f>EDATE(N73,Parametri!$D$2)</f>
        <v>46813</v>
      </c>
      <c r="T73" t="str">
        <f t="shared" si="7"/>
        <v>Complet</v>
      </c>
    </row>
    <row r="74" spans="1:20" x14ac:dyDescent="0.3">
      <c r="A74" s="6" t="s">
        <v>117</v>
      </c>
      <c r="B74" s="6">
        <v>9336</v>
      </c>
      <c r="C74" s="6" t="s">
        <v>125</v>
      </c>
      <c r="D74" s="6" t="s">
        <v>383</v>
      </c>
      <c r="E74" s="6" t="s">
        <v>309</v>
      </c>
      <c r="F74" s="6">
        <v>472</v>
      </c>
      <c r="G74" s="6" t="s">
        <v>345</v>
      </c>
      <c r="H74" s="6" t="s">
        <v>149</v>
      </c>
      <c r="I74" s="6">
        <v>43</v>
      </c>
      <c r="J74" s="3">
        <v>45047</v>
      </c>
      <c r="K74" s="3">
        <v>45870</v>
      </c>
      <c r="L74" s="3">
        <v>45931</v>
      </c>
      <c r="M74" s="3">
        <v>45047</v>
      </c>
      <c r="N74" s="3">
        <v>45717</v>
      </c>
      <c r="O74" s="2">
        <f>EDATE(J74,Parametri!$D$2)</f>
        <v>46143</v>
      </c>
      <c r="P74" s="2">
        <f>EDATE(K74,Parametri!$D$3)</f>
        <v>46419</v>
      </c>
      <c r="Q74" s="2">
        <f>EDATE(L74,Parametri!$D$4)</f>
        <v>46296</v>
      </c>
      <c r="R74" s="2">
        <f>EDATE(M74,Parametri!$D$5)</f>
        <v>46143</v>
      </c>
      <c r="S74" s="2">
        <f>EDATE(N74,Parametri!$D$6)</f>
        <v>47543</v>
      </c>
      <c r="T74" t="str">
        <f t="shared" si="7"/>
        <v>Complet</v>
      </c>
    </row>
    <row r="75" spans="1:20" x14ac:dyDescent="0.3">
      <c r="A75" s="6" t="s">
        <v>245</v>
      </c>
      <c r="B75" s="6">
        <v>7381</v>
      </c>
      <c r="C75" s="6" t="s">
        <v>125</v>
      </c>
      <c r="D75" s="6" t="s">
        <v>400</v>
      </c>
      <c r="E75" s="6" t="s">
        <v>324</v>
      </c>
      <c r="F75" s="6">
        <v>999</v>
      </c>
      <c r="G75" s="6" t="s">
        <v>264</v>
      </c>
      <c r="J75" s="3" t="s">
        <v>246</v>
      </c>
      <c r="K75" s="3">
        <v>46143</v>
      </c>
      <c r="L75" s="3">
        <v>46143</v>
      </c>
      <c r="M75" s="3" t="s">
        <v>246</v>
      </c>
      <c r="N75" s="3" t="s">
        <v>246</v>
      </c>
      <c r="O75" s="2" t="e">
        <f>EDATE(J75,Parametri!$D$2)</f>
        <v>#VALUE!</v>
      </c>
      <c r="P75" s="2">
        <f>EDATE(K75,Parametri!$D$3)</f>
        <v>46692</v>
      </c>
      <c r="Q75" s="2">
        <f>EDATE(L75,Parametri!$D$4)</f>
        <v>46508</v>
      </c>
      <c r="R75" s="2" t="e">
        <f>EDATE(M75,Parametri!$D$5)</f>
        <v>#VALUE!</v>
      </c>
      <c r="S75" s="2" t="e">
        <f>EDATE(N75,Parametri!$D$6)</f>
        <v>#VALUE!</v>
      </c>
      <c r="T75" t="str">
        <f t="shared" si="7"/>
        <v>Complet</v>
      </c>
    </row>
    <row r="76" spans="1:20" x14ac:dyDescent="0.3">
      <c r="A76" s="6" t="s">
        <v>88</v>
      </c>
      <c r="B76" s="6">
        <v>5277</v>
      </c>
      <c r="C76" s="6" t="s">
        <v>243</v>
      </c>
      <c r="D76" s="6" t="s">
        <v>399</v>
      </c>
      <c r="E76" s="6" t="s">
        <v>313</v>
      </c>
      <c r="F76" s="6">
        <v>443</v>
      </c>
      <c r="H76" s="6" t="s">
        <v>142</v>
      </c>
      <c r="I76" s="6">
        <v>42</v>
      </c>
      <c r="J76" s="3">
        <v>46023</v>
      </c>
      <c r="K76" s="3">
        <v>45748</v>
      </c>
      <c r="L76" s="3">
        <v>45717</v>
      </c>
      <c r="M76" s="3" t="s">
        <v>246</v>
      </c>
      <c r="N76" s="3">
        <v>45689</v>
      </c>
      <c r="O76" s="2">
        <f>EDATE(J76,Parametri!$D$2)</f>
        <v>47119</v>
      </c>
      <c r="P76" s="2">
        <f>EDATE(K76,Parametri!$D$3)</f>
        <v>46296</v>
      </c>
      <c r="Q76" s="2">
        <f>EDATE(L76,Parametri!$D$4)</f>
        <v>46082</v>
      </c>
      <c r="R76" s="2" t="e">
        <f>EDATE(M76,Parametri!$D$5)</f>
        <v>#VALUE!</v>
      </c>
      <c r="S76" s="2">
        <f>EDATE(N76,Parametri!$D$6)</f>
        <v>47515</v>
      </c>
      <c r="T76" t="str">
        <f t="shared" si="7"/>
        <v>Complet</v>
      </c>
    </row>
    <row r="77" spans="1:20" x14ac:dyDescent="0.3">
      <c r="A77" s="6" t="s">
        <v>121</v>
      </c>
      <c r="B77" s="6">
        <v>9492</v>
      </c>
      <c r="C77" s="6" t="s">
        <v>127</v>
      </c>
      <c r="D77" s="6" t="s">
        <v>384</v>
      </c>
      <c r="E77" s="6" t="s">
        <v>319</v>
      </c>
      <c r="F77" s="6">
        <v>437</v>
      </c>
      <c r="G77" s="6" t="s">
        <v>326</v>
      </c>
      <c r="H77" s="6" t="s">
        <v>151</v>
      </c>
      <c r="I77" s="6">
        <v>43</v>
      </c>
      <c r="J77" s="3">
        <v>45566</v>
      </c>
      <c r="K77" s="3">
        <v>45931</v>
      </c>
      <c r="L77" s="3">
        <v>45717</v>
      </c>
      <c r="M77" s="3">
        <v>45931</v>
      </c>
      <c r="N77" s="3"/>
      <c r="O77" s="2">
        <f>EDATE(J77,Parametri!$D$2)</f>
        <v>46661</v>
      </c>
      <c r="P77" s="2">
        <f>EDATE(K77,Parametri!$D$3)</f>
        <v>46478</v>
      </c>
      <c r="Q77" s="2">
        <f>EDATE(L77,Parametri!$D$4)</f>
        <v>46082</v>
      </c>
      <c r="R77" s="2">
        <f>EDATE(M77,Parametri!$D$5)</f>
        <v>47027</v>
      </c>
      <c r="S77" s="2">
        <f>EDATE(N77,Parametri!$D$6)</f>
        <v>1827</v>
      </c>
      <c r="T77" t="str">
        <f t="shared" si="7"/>
        <v>Complet</v>
      </c>
    </row>
    <row r="78" spans="1:20" x14ac:dyDescent="0.3">
      <c r="A78" s="6" t="s">
        <v>121</v>
      </c>
      <c r="B78" s="6">
        <v>9492</v>
      </c>
      <c r="C78" s="6" t="s">
        <v>127</v>
      </c>
      <c r="D78" s="6" t="s">
        <v>384</v>
      </c>
      <c r="E78" s="6" t="s">
        <v>323</v>
      </c>
      <c r="F78" s="6">
        <v>946</v>
      </c>
      <c r="G78" s="6" t="s">
        <v>326</v>
      </c>
      <c r="H78" s="6" t="s">
        <v>151</v>
      </c>
      <c r="I78" s="6">
        <v>43</v>
      </c>
      <c r="J78" s="3">
        <f>J77</f>
        <v>45566</v>
      </c>
      <c r="K78" s="3">
        <f>K77</f>
        <v>45931</v>
      </c>
      <c r="L78" s="3">
        <f>L77</f>
        <v>45717</v>
      </c>
      <c r="M78" s="3">
        <f>M77</f>
        <v>45931</v>
      </c>
      <c r="N78" s="3">
        <f>N77</f>
        <v>0</v>
      </c>
      <c r="O78" s="2">
        <f>EDATE(J78,Parametri!$D$2)</f>
        <v>46661</v>
      </c>
      <c r="P78" s="2">
        <f>EDATE(K78,Parametri!$D$3)</f>
        <v>46478</v>
      </c>
      <c r="Q78" s="2">
        <f>EDATE(L78,Parametri!$D$4)</f>
        <v>46082</v>
      </c>
      <c r="R78" s="2">
        <f>EDATE(M78,Parametri!$D$5)</f>
        <v>47027</v>
      </c>
      <c r="S78" s="2">
        <f>EDATE(N78,Parametri!$D$6)</f>
        <v>1827</v>
      </c>
      <c r="T78" t="str">
        <f t="shared" si="7"/>
        <v>Complet</v>
      </c>
    </row>
    <row r="79" spans="1:20" x14ac:dyDescent="0.3">
      <c r="A79" s="6" t="s">
        <v>118</v>
      </c>
      <c r="B79" s="6">
        <v>9348</v>
      </c>
      <c r="C79" s="6" t="s">
        <v>129</v>
      </c>
      <c r="D79" s="6" t="s">
        <v>385</v>
      </c>
      <c r="E79" s="6" t="s">
        <v>363</v>
      </c>
      <c r="F79" s="6">
        <v>142</v>
      </c>
      <c r="G79" s="6" t="s">
        <v>249</v>
      </c>
      <c r="H79" s="6" t="s">
        <v>147</v>
      </c>
      <c r="I79" s="6">
        <v>44</v>
      </c>
      <c r="J79" s="3">
        <v>45047</v>
      </c>
      <c r="K79" s="3">
        <v>45870</v>
      </c>
      <c r="L79" s="3">
        <v>45931</v>
      </c>
      <c r="M79" s="3">
        <v>45047</v>
      </c>
      <c r="N79" s="3"/>
      <c r="O79" s="2">
        <f>EDATE(J79,Parametri!$D$2)</f>
        <v>46143</v>
      </c>
      <c r="P79" s="2">
        <f>EDATE(K79,Parametri!$D$3)</f>
        <v>46419</v>
      </c>
      <c r="Q79" s="2">
        <f>EDATE(L79,Parametri!$D$4)</f>
        <v>46296</v>
      </c>
      <c r="R79" s="2">
        <f>EDATE(M79,Parametri!$D$5)</f>
        <v>46143</v>
      </c>
      <c r="S79" s="2">
        <f>EDATE(N79,Parametri!$D$6)</f>
        <v>1827</v>
      </c>
      <c r="T79" t="str">
        <f t="shared" si="7"/>
        <v>Complet</v>
      </c>
    </row>
    <row r="80" spans="1:20" x14ac:dyDescent="0.3">
      <c r="A80" s="6" t="s">
        <v>118</v>
      </c>
      <c r="B80" s="6">
        <v>9348</v>
      </c>
      <c r="C80" s="6" t="s">
        <v>129</v>
      </c>
      <c r="D80" s="6" t="s">
        <v>385</v>
      </c>
      <c r="E80" s="6" t="s">
        <v>319</v>
      </c>
      <c r="F80" s="6">
        <v>530</v>
      </c>
      <c r="G80" s="6" t="s">
        <v>249</v>
      </c>
      <c r="H80" s="6" t="s">
        <v>147</v>
      </c>
      <c r="I80" s="6">
        <v>44</v>
      </c>
      <c r="J80" s="3">
        <f>J79</f>
        <v>45047</v>
      </c>
      <c r="K80" s="3">
        <f>K79</f>
        <v>45870</v>
      </c>
      <c r="L80" s="3">
        <f>L79</f>
        <v>45931</v>
      </c>
      <c r="M80" s="3">
        <f>M79</f>
        <v>45047</v>
      </c>
      <c r="N80" s="3">
        <f>N79</f>
        <v>0</v>
      </c>
      <c r="O80" s="2">
        <f>EDATE(J80,Parametri!$D$2)</f>
        <v>46143</v>
      </c>
      <c r="P80" s="2">
        <f>EDATE(K80,Parametri!$D$3)</f>
        <v>46419</v>
      </c>
      <c r="Q80" s="2">
        <f>EDATE(L80,Parametri!$D$4)</f>
        <v>46296</v>
      </c>
      <c r="R80" s="2">
        <f>EDATE(M80,Parametri!$D$5)</f>
        <v>46143</v>
      </c>
      <c r="S80" s="2">
        <f>EDATE(N80,Parametri!$D$6)</f>
        <v>1827</v>
      </c>
      <c r="T80" t="str">
        <f t="shared" si="7"/>
        <v>Complet</v>
      </c>
    </row>
  </sheetData>
  <autoFilter ref="A1:U78" xr:uid="{00000000-0001-0000-0100-000000000000}">
    <sortState xmlns:xlrd2="http://schemas.microsoft.com/office/spreadsheetml/2017/richdata2" ref="A2:U80">
      <sortCondition ref="A1:A78"/>
    </sortState>
  </autoFilter>
  <sortState xmlns:xlrd2="http://schemas.microsoft.com/office/spreadsheetml/2017/richdata2" ref="A2:U75">
    <sortCondition ref="A1:A75"/>
  </sortState>
  <phoneticPr fontId="4" type="noConversion"/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1993924-D733-420D-AAFE-8449F22EBC9C}">
            <xm:f>O2-Parametri!$E$1&lt;=0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237315CC-CA66-43B4-B5B1-BA12164F9540}">
            <xm:f>O2-Parametri!$E$1&lt;=30</xm:f>
            <x14:dxf>
              <fill>
                <patternFill>
                  <bgColor rgb="FFFFC000"/>
                </patternFill>
              </fill>
            </x14:dxf>
          </x14:cfRule>
          <x14:cfRule type="expression" priority="12" id="{3AD5E671-4908-4166-8456-74F06C3E1EF3}">
            <xm:f>O2-Parametri!$E$1&gt;30</xm:f>
            <x14:dxf>
              <fill>
                <patternFill>
                  <bgColor rgb="FF00B050"/>
                </patternFill>
              </fill>
            </x14:dxf>
          </x14:cfRule>
          <xm:sqref>J2:N80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zoomScale="102" workbookViewId="0">
      <pane xSplit="1" ySplit="1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.6640625" bestFit="1" customWidth="1"/>
    <col min="2" max="2" width="10.88671875" bestFit="1" customWidth="1"/>
    <col min="3" max="3" width="13.33203125" bestFit="1" customWidth="1"/>
    <col min="4" max="5" width="13.33203125" customWidth="1"/>
    <col min="6" max="6" width="14.88671875" bestFit="1" customWidth="1"/>
    <col min="7" max="7" width="14.88671875" customWidth="1"/>
    <col min="8" max="8" width="11.33203125" bestFit="1" customWidth="1"/>
    <col min="9" max="9" width="9.44140625" bestFit="1" customWidth="1"/>
    <col min="10" max="10" width="12.109375" bestFit="1" customWidth="1"/>
    <col min="11" max="11" width="13.6640625" bestFit="1" customWidth="1"/>
    <col min="12" max="12" width="16.88671875" bestFit="1" customWidth="1"/>
    <col min="13" max="13" width="32.6640625" bestFit="1" customWidth="1"/>
    <col min="14" max="17" width="18" customWidth="1"/>
    <col min="21" max="23" width="18" customWidth="1"/>
  </cols>
  <sheetData>
    <row r="1" spans="1:13" x14ac:dyDescent="0.3">
      <c r="A1" t="s">
        <v>247</v>
      </c>
      <c r="B1" t="s">
        <v>155</v>
      </c>
      <c r="C1" t="s">
        <v>2</v>
      </c>
      <c r="D1" t="s">
        <v>1</v>
      </c>
      <c r="E1" t="s">
        <v>1</v>
      </c>
      <c r="F1" t="s">
        <v>1</v>
      </c>
      <c r="G1" t="s">
        <v>306</v>
      </c>
      <c r="H1" t="s">
        <v>3</v>
      </c>
      <c r="I1" t="s">
        <v>6</v>
      </c>
      <c r="J1" t="s">
        <v>405</v>
      </c>
      <c r="K1" t="s">
        <v>8</v>
      </c>
      <c r="L1" t="s">
        <v>9</v>
      </c>
      <c r="M1" t="s">
        <v>156</v>
      </c>
    </row>
    <row r="2" spans="1:13" x14ac:dyDescent="0.3">
      <c r="A2">
        <v>1</v>
      </c>
      <c r="B2" t="s">
        <v>183</v>
      </c>
      <c r="C2" t="s">
        <v>184</v>
      </c>
      <c r="D2" t="s">
        <v>309</v>
      </c>
      <c r="E2">
        <v>471</v>
      </c>
      <c r="F2" t="s">
        <v>186</v>
      </c>
      <c r="G2">
        <v>42692096</v>
      </c>
      <c r="H2">
        <v>2016</v>
      </c>
      <c r="J2" t="s">
        <v>256</v>
      </c>
      <c r="K2" t="s">
        <v>269</v>
      </c>
    </row>
    <row r="3" spans="1:13" x14ac:dyDescent="0.3">
      <c r="A3">
        <v>2</v>
      </c>
      <c r="B3" t="s">
        <v>183</v>
      </c>
      <c r="C3" t="s">
        <v>184</v>
      </c>
      <c r="D3" t="s">
        <v>309</v>
      </c>
      <c r="E3">
        <v>472</v>
      </c>
      <c r="F3" t="s">
        <v>187</v>
      </c>
      <c r="G3">
        <v>42691896</v>
      </c>
      <c r="H3">
        <v>2016</v>
      </c>
      <c r="J3" t="s">
        <v>257</v>
      </c>
      <c r="K3" t="s">
        <v>267</v>
      </c>
    </row>
    <row r="4" spans="1:13" x14ac:dyDescent="0.3">
      <c r="A4">
        <v>3</v>
      </c>
      <c r="B4" t="s">
        <v>183</v>
      </c>
      <c r="C4" t="s">
        <v>184</v>
      </c>
      <c r="D4" t="s">
        <v>309</v>
      </c>
      <c r="E4">
        <v>474</v>
      </c>
      <c r="F4" t="s">
        <v>189</v>
      </c>
      <c r="G4">
        <v>42692296</v>
      </c>
      <c r="H4">
        <v>2016</v>
      </c>
      <c r="J4" t="s">
        <v>258</v>
      </c>
      <c r="K4" t="s">
        <v>266</v>
      </c>
    </row>
    <row r="5" spans="1:13" x14ac:dyDescent="0.3">
      <c r="A5">
        <v>4</v>
      </c>
      <c r="B5" t="s">
        <v>183</v>
      </c>
      <c r="C5" t="s">
        <v>184</v>
      </c>
      <c r="D5" t="s">
        <v>309</v>
      </c>
      <c r="E5">
        <v>473</v>
      </c>
      <c r="F5" t="s">
        <v>188</v>
      </c>
      <c r="G5">
        <v>42691996</v>
      </c>
      <c r="H5">
        <v>2016</v>
      </c>
      <c r="J5" t="s">
        <v>259</v>
      </c>
      <c r="K5" t="s">
        <v>265</v>
      </c>
    </row>
    <row r="6" spans="1:13" x14ac:dyDescent="0.3">
      <c r="A6">
        <v>6</v>
      </c>
      <c r="B6" t="s">
        <v>253</v>
      </c>
      <c r="C6" t="s">
        <v>226</v>
      </c>
      <c r="D6" t="s">
        <v>315</v>
      </c>
      <c r="E6">
        <v>325</v>
      </c>
      <c r="F6" t="s">
        <v>227</v>
      </c>
      <c r="G6">
        <v>42492400</v>
      </c>
      <c r="H6">
        <v>1996</v>
      </c>
      <c r="J6" t="s">
        <v>249</v>
      </c>
      <c r="K6" t="s">
        <v>108</v>
      </c>
    </row>
    <row r="7" spans="1:13" x14ac:dyDescent="0.3">
      <c r="A7">
        <v>8</v>
      </c>
      <c r="B7" t="s">
        <v>250</v>
      </c>
      <c r="C7" t="s">
        <v>208</v>
      </c>
      <c r="D7" t="s">
        <v>320</v>
      </c>
      <c r="E7">
        <v>340</v>
      </c>
      <c r="F7" t="s">
        <v>209</v>
      </c>
      <c r="G7">
        <v>41316100</v>
      </c>
      <c r="H7">
        <v>2011</v>
      </c>
      <c r="J7" t="s">
        <v>249</v>
      </c>
      <c r="K7" t="s">
        <v>264</v>
      </c>
    </row>
    <row r="8" spans="1:13" x14ac:dyDescent="0.3">
      <c r="A8">
        <v>9</v>
      </c>
      <c r="B8" t="s">
        <v>183</v>
      </c>
      <c r="C8" t="s">
        <v>184</v>
      </c>
      <c r="D8" t="s">
        <v>309</v>
      </c>
      <c r="E8">
        <v>470</v>
      </c>
      <c r="F8" t="s">
        <v>185</v>
      </c>
      <c r="G8">
        <v>42692196</v>
      </c>
      <c r="H8">
        <v>2016</v>
      </c>
      <c r="J8" t="s">
        <v>260</v>
      </c>
      <c r="K8" t="s">
        <v>268</v>
      </c>
    </row>
    <row r="9" spans="1:13" x14ac:dyDescent="0.3">
      <c r="A9">
        <v>10</v>
      </c>
      <c r="B9" t="s">
        <v>183</v>
      </c>
      <c r="C9" t="s">
        <v>184</v>
      </c>
      <c r="D9" t="s">
        <v>309</v>
      </c>
      <c r="E9">
        <v>586</v>
      </c>
      <c r="F9" t="s">
        <v>190</v>
      </c>
      <c r="G9">
        <v>42692496</v>
      </c>
      <c r="H9">
        <v>2016</v>
      </c>
      <c r="J9" t="s">
        <v>254</v>
      </c>
      <c r="K9" t="s">
        <v>297</v>
      </c>
    </row>
    <row r="10" spans="1:13" x14ac:dyDescent="0.3">
      <c r="A10">
        <v>11</v>
      </c>
      <c r="B10" t="s">
        <v>183</v>
      </c>
      <c r="C10" t="s">
        <v>184</v>
      </c>
      <c r="D10" t="s">
        <v>309</v>
      </c>
      <c r="E10">
        <v>587</v>
      </c>
      <c r="F10" t="s">
        <v>191</v>
      </c>
      <c r="G10">
        <v>42692396</v>
      </c>
      <c r="H10">
        <v>2016</v>
      </c>
      <c r="J10" t="s">
        <v>254</v>
      </c>
      <c r="K10" t="s">
        <v>300</v>
      </c>
    </row>
    <row r="11" spans="1:13" x14ac:dyDescent="0.3">
      <c r="A11">
        <v>13</v>
      </c>
      <c r="B11" t="s">
        <v>250</v>
      </c>
      <c r="C11" t="s">
        <v>204</v>
      </c>
      <c r="D11" t="s">
        <v>319</v>
      </c>
      <c r="E11">
        <v>441</v>
      </c>
      <c r="F11" t="s">
        <v>205</v>
      </c>
      <c r="G11">
        <v>41246300</v>
      </c>
      <c r="H11">
        <v>1998</v>
      </c>
      <c r="J11" t="s">
        <v>249</v>
      </c>
      <c r="K11" s="4" t="s">
        <v>290</v>
      </c>
    </row>
    <row r="12" spans="1:13" x14ac:dyDescent="0.3">
      <c r="A12">
        <v>15</v>
      </c>
      <c r="B12" t="s">
        <v>250</v>
      </c>
      <c r="C12" t="s">
        <v>206</v>
      </c>
      <c r="D12" t="s">
        <v>319</v>
      </c>
      <c r="E12">
        <v>530</v>
      </c>
      <c r="F12" t="s">
        <v>207</v>
      </c>
      <c r="G12">
        <v>41294600</v>
      </c>
      <c r="H12">
        <v>2005</v>
      </c>
      <c r="J12" t="s">
        <v>249</v>
      </c>
      <c r="K12" t="s">
        <v>291</v>
      </c>
    </row>
    <row r="13" spans="1:13" x14ac:dyDescent="0.3">
      <c r="A13">
        <v>16</v>
      </c>
      <c r="B13" t="s">
        <v>211</v>
      </c>
      <c r="C13" t="s">
        <v>206</v>
      </c>
      <c r="D13" t="s">
        <v>319</v>
      </c>
      <c r="E13">
        <v>317</v>
      </c>
      <c r="F13" t="s">
        <v>210</v>
      </c>
      <c r="G13">
        <v>41294700</v>
      </c>
      <c r="H13">
        <v>2005</v>
      </c>
      <c r="J13" t="s">
        <v>254</v>
      </c>
      <c r="K13" t="s">
        <v>299</v>
      </c>
    </row>
    <row r="14" spans="1:13" x14ac:dyDescent="0.3">
      <c r="A14">
        <v>17</v>
      </c>
      <c r="B14" t="s">
        <v>274</v>
      </c>
      <c r="C14" t="s">
        <v>303</v>
      </c>
      <c r="D14" t="s">
        <v>363</v>
      </c>
      <c r="E14">
        <v>144</v>
      </c>
      <c r="F14" t="s">
        <v>304</v>
      </c>
      <c r="G14">
        <v>50059000</v>
      </c>
      <c r="J14" t="s">
        <v>249</v>
      </c>
      <c r="K14" t="s">
        <v>291</v>
      </c>
    </row>
    <row r="15" spans="1:13" x14ac:dyDescent="0.3">
      <c r="A15">
        <v>19</v>
      </c>
      <c r="B15" t="s">
        <v>274</v>
      </c>
      <c r="C15" t="s">
        <v>303</v>
      </c>
      <c r="D15" t="s">
        <v>363</v>
      </c>
      <c r="E15">
        <v>142</v>
      </c>
      <c r="F15" t="s">
        <v>305</v>
      </c>
      <c r="G15">
        <v>50058900</v>
      </c>
      <c r="J15" t="s">
        <v>249</v>
      </c>
      <c r="K15" s="4" t="s">
        <v>290</v>
      </c>
    </row>
    <row r="16" spans="1:13" x14ac:dyDescent="0.3">
      <c r="A16">
        <v>21</v>
      </c>
      <c r="B16" t="s">
        <v>183</v>
      </c>
      <c r="C16" t="s">
        <v>192</v>
      </c>
      <c r="D16" t="s">
        <v>309</v>
      </c>
      <c r="E16">
        <v>464</v>
      </c>
      <c r="F16" t="s">
        <v>193</v>
      </c>
      <c r="G16">
        <v>42691296</v>
      </c>
      <c r="H16">
        <v>2016</v>
      </c>
      <c r="J16" t="s">
        <v>256</v>
      </c>
      <c r="K16" t="s">
        <v>75</v>
      </c>
    </row>
    <row r="17" spans="1:11" x14ac:dyDescent="0.3">
      <c r="A17">
        <v>22</v>
      </c>
      <c r="B17" t="s">
        <v>183</v>
      </c>
      <c r="C17" t="s">
        <v>192</v>
      </c>
      <c r="D17" t="s">
        <v>309</v>
      </c>
      <c r="E17">
        <v>465</v>
      </c>
      <c r="F17" t="s">
        <v>194</v>
      </c>
      <c r="G17">
        <v>42691396</v>
      </c>
      <c r="H17">
        <v>2016</v>
      </c>
      <c r="J17" t="s">
        <v>257</v>
      </c>
      <c r="K17" t="s">
        <v>91</v>
      </c>
    </row>
    <row r="18" spans="1:11" x14ac:dyDescent="0.3">
      <c r="A18">
        <v>23</v>
      </c>
      <c r="B18" t="s">
        <v>183</v>
      </c>
      <c r="C18" t="s">
        <v>192</v>
      </c>
      <c r="D18" t="s">
        <v>309</v>
      </c>
      <c r="E18">
        <v>466</v>
      </c>
      <c r="F18" t="s">
        <v>195</v>
      </c>
      <c r="G18">
        <v>42691496</v>
      </c>
      <c r="H18">
        <v>2016</v>
      </c>
      <c r="J18" t="s">
        <v>258</v>
      </c>
      <c r="K18" t="s">
        <v>81</v>
      </c>
    </row>
    <row r="19" spans="1:11" x14ac:dyDescent="0.3">
      <c r="A19">
        <v>24</v>
      </c>
      <c r="B19" t="s">
        <v>183</v>
      </c>
      <c r="C19" t="s">
        <v>192</v>
      </c>
      <c r="D19" t="s">
        <v>309</v>
      </c>
      <c r="E19">
        <v>467</v>
      </c>
      <c r="F19" t="s">
        <v>196</v>
      </c>
      <c r="G19">
        <v>42691596</v>
      </c>
      <c r="H19">
        <v>2016</v>
      </c>
      <c r="J19" t="s">
        <v>259</v>
      </c>
      <c r="K19" t="s">
        <v>95</v>
      </c>
    </row>
    <row r="20" spans="1:11" x14ac:dyDescent="0.3">
      <c r="A20">
        <v>33</v>
      </c>
      <c r="B20" t="s">
        <v>183</v>
      </c>
      <c r="C20" t="s">
        <v>192</v>
      </c>
      <c r="D20" t="s">
        <v>309</v>
      </c>
      <c r="E20">
        <v>468</v>
      </c>
      <c r="F20" t="s">
        <v>197</v>
      </c>
      <c r="G20">
        <v>42691696</v>
      </c>
      <c r="H20">
        <v>2016</v>
      </c>
      <c r="J20" t="s">
        <v>260</v>
      </c>
      <c r="K20" t="s">
        <v>116</v>
      </c>
    </row>
    <row r="21" spans="1:11" x14ac:dyDescent="0.3">
      <c r="A21">
        <v>34</v>
      </c>
      <c r="B21" t="s">
        <v>183</v>
      </c>
      <c r="C21" t="s">
        <v>192</v>
      </c>
      <c r="D21" t="s">
        <v>309</v>
      </c>
      <c r="E21">
        <v>469</v>
      </c>
      <c r="F21" t="s">
        <v>198</v>
      </c>
      <c r="G21">
        <v>42691796</v>
      </c>
      <c r="H21">
        <v>2016</v>
      </c>
      <c r="J21" t="s">
        <v>255</v>
      </c>
      <c r="K21" t="s">
        <v>120</v>
      </c>
    </row>
    <row r="22" spans="1:11" x14ac:dyDescent="0.3">
      <c r="A22">
        <v>37</v>
      </c>
      <c r="B22" t="s">
        <v>211</v>
      </c>
      <c r="C22" t="s">
        <v>212</v>
      </c>
      <c r="D22" t="s">
        <v>319</v>
      </c>
      <c r="E22">
        <v>786</v>
      </c>
      <c r="F22" t="s">
        <v>214</v>
      </c>
      <c r="G22">
        <v>41248600</v>
      </c>
      <c r="H22">
        <v>1999</v>
      </c>
      <c r="J22" t="s">
        <v>254</v>
      </c>
      <c r="K22" t="s">
        <v>298</v>
      </c>
    </row>
    <row r="23" spans="1:11" x14ac:dyDescent="0.3">
      <c r="A23">
        <v>43</v>
      </c>
      <c r="B23" t="s">
        <v>216</v>
      </c>
      <c r="C23" t="s">
        <v>212</v>
      </c>
      <c r="D23" t="s">
        <v>319</v>
      </c>
      <c r="E23">
        <v>468</v>
      </c>
      <c r="F23" t="s">
        <v>215</v>
      </c>
      <c r="G23">
        <v>41246700</v>
      </c>
      <c r="H23">
        <v>1998</v>
      </c>
      <c r="J23" t="s">
        <v>254</v>
      </c>
      <c r="K23" t="s">
        <v>102</v>
      </c>
    </row>
    <row r="24" spans="1:11" x14ac:dyDescent="0.3">
      <c r="A24">
        <v>45</v>
      </c>
      <c r="B24" t="s">
        <v>211</v>
      </c>
      <c r="C24" t="s">
        <v>212</v>
      </c>
      <c r="D24" t="s">
        <v>319</v>
      </c>
      <c r="E24">
        <v>531</v>
      </c>
      <c r="F24" t="s">
        <v>213</v>
      </c>
      <c r="G24">
        <v>41244200</v>
      </c>
      <c r="H24">
        <v>1998</v>
      </c>
      <c r="J24" t="s">
        <v>254</v>
      </c>
      <c r="K24" t="s">
        <v>90</v>
      </c>
    </row>
    <row r="25" spans="1:11" x14ac:dyDescent="0.3">
      <c r="A25">
        <v>53</v>
      </c>
      <c r="B25" t="s">
        <v>183</v>
      </c>
      <c r="C25" t="s">
        <v>199</v>
      </c>
      <c r="D25" t="s">
        <v>319</v>
      </c>
      <c r="E25">
        <v>76</v>
      </c>
      <c r="F25" t="s">
        <v>201</v>
      </c>
      <c r="G25">
        <v>42402400</v>
      </c>
      <c r="H25">
        <v>1994</v>
      </c>
      <c r="J25" t="s">
        <v>254</v>
      </c>
      <c r="K25" t="s">
        <v>87</v>
      </c>
    </row>
    <row r="26" spans="1:11" x14ac:dyDescent="0.3">
      <c r="A26">
        <v>55</v>
      </c>
      <c r="B26" t="s">
        <v>217</v>
      </c>
      <c r="C26" t="s">
        <v>220</v>
      </c>
      <c r="D26" t="s">
        <v>315</v>
      </c>
      <c r="E26">
        <v>545</v>
      </c>
      <c r="F26" t="s">
        <v>221</v>
      </c>
      <c r="G26">
        <v>41286300</v>
      </c>
      <c r="H26">
        <v>2002</v>
      </c>
      <c r="J26" t="s">
        <v>249</v>
      </c>
      <c r="K26" t="s">
        <v>295</v>
      </c>
    </row>
    <row r="27" spans="1:11" x14ac:dyDescent="0.3">
      <c r="A27">
        <v>67</v>
      </c>
      <c r="B27" t="s">
        <v>250</v>
      </c>
      <c r="C27" t="s">
        <v>292</v>
      </c>
      <c r="D27" t="s">
        <v>329</v>
      </c>
      <c r="E27">
        <v>329</v>
      </c>
      <c r="F27" t="s">
        <v>293</v>
      </c>
      <c r="G27">
        <v>41333100</v>
      </c>
      <c r="J27" t="s">
        <v>249</v>
      </c>
      <c r="K27" t="s">
        <v>294</v>
      </c>
    </row>
    <row r="28" spans="1:11" x14ac:dyDescent="0.3">
      <c r="A28">
        <v>68</v>
      </c>
      <c r="B28" t="s">
        <v>274</v>
      </c>
      <c r="C28" t="s">
        <v>301</v>
      </c>
      <c r="D28" t="s">
        <v>362</v>
      </c>
      <c r="E28">
        <v>362</v>
      </c>
      <c r="F28" t="s">
        <v>302</v>
      </c>
      <c r="G28">
        <v>50067200</v>
      </c>
      <c r="J28" t="s">
        <v>249</v>
      </c>
      <c r="K28" t="s">
        <v>294</v>
      </c>
    </row>
    <row r="29" spans="1:11" x14ac:dyDescent="0.3">
      <c r="A29">
        <v>69</v>
      </c>
      <c r="B29" t="s">
        <v>250</v>
      </c>
      <c r="C29" t="s">
        <v>327</v>
      </c>
      <c r="D29" t="s">
        <v>315</v>
      </c>
      <c r="E29">
        <v>322</v>
      </c>
      <c r="F29" t="s">
        <v>328</v>
      </c>
      <c r="G29">
        <v>41228800</v>
      </c>
      <c r="J29" t="s">
        <v>261</v>
      </c>
      <c r="K29" t="s">
        <v>98</v>
      </c>
    </row>
    <row r="30" spans="1:11" x14ac:dyDescent="0.3">
      <c r="A30">
        <v>72</v>
      </c>
      <c r="B30" t="s">
        <v>217</v>
      </c>
      <c r="C30" t="s">
        <v>224</v>
      </c>
      <c r="D30" t="s">
        <v>225</v>
      </c>
      <c r="E30" t="s">
        <v>403</v>
      </c>
      <c r="F30" t="s">
        <v>225</v>
      </c>
      <c r="G30">
        <v>42676100</v>
      </c>
      <c r="H30">
        <v>2013</v>
      </c>
      <c r="J30" t="s">
        <v>248</v>
      </c>
      <c r="K30" t="s">
        <v>264</v>
      </c>
    </row>
    <row r="31" spans="1:11" x14ac:dyDescent="0.3">
      <c r="A31">
        <v>77</v>
      </c>
      <c r="B31" t="s">
        <v>217</v>
      </c>
      <c r="C31" t="s">
        <v>222</v>
      </c>
      <c r="D31" t="s">
        <v>321</v>
      </c>
      <c r="E31">
        <v>66</v>
      </c>
      <c r="F31" t="s">
        <v>223</v>
      </c>
      <c r="G31">
        <v>42783996</v>
      </c>
      <c r="H31">
        <v>2019</v>
      </c>
      <c r="J31" t="s">
        <v>254</v>
      </c>
      <c r="K31" t="s">
        <v>79</v>
      </c>
    </row>
    <row r="32" spans="1:11" x14ac:dyDescent="0.3">
      <c r="A32">
        <v>80</v>
      </c>
      <c r="B32" t="s">
        <v>253</v>
      </c>
      <c r="C32" t="s">
        <v>226</v>
      </c>
      <c r="D32" t="s">
        <v>322</v>
      </c>
      <c r="E32">
        <v>114</v>
      </c>
      <c r="F32" t="s">
        <v>404</v>
      </c>
      <c r="G32">
        <v>42473600</v>
      </c>
      <c r="J32" t="s">
        <v>261</v>
      </c>
      <c r="K32" t="s">
        <v>98</v>
      </c>
    </row>
    <row r="33" spans="1:11" x14ac:dyDescent="0.3">
      <c r="A33">
        <v>83</v>
      </c>
      <c r="B33" t="s">
        <v>183</v>
      </c>
      <c r="C33" t="s">
        <v>199</v>
      </c>
      <c r="D33" t="s">
        <v>319</v>
      </c>
      <c r="E33">
        <v>437</v>
      </c>
      <c r="F33" t="s">
        <v>200</v>
      </c>
      <c r="G33">
        <v>42492600</v>
      </c>
      <c r="H33">
        <v>1988</v>
      </c>
      <c r="J33" t="s">
        <v>261</v>
      </c>
      <c r="K33" t="s">
        <v>288</v>
      </c>
    </row>
    <row r="34" spans="1:11" x14ac:dyDescent="0.3">
      <c r="A34">
        <v>84</v>
      </c>
      <c r="B34" t="s">
        <v>217</v>
      </c>
      <c r="C34" t="s">
        <v>218</v>
      </c>
      <c r="D34" t="s">
        <v>323</v>
      </c>
      <c r="E34">
        <v>866</v>
      </c>
      <c r="F34" t="s">
        <v>219</v>
      </c>
      <c r="G34">
        <v>42628300</v>
      </c>
      <c r="H34">
        <v>2006</v>
      </c>
      <c r="J34" t="s">
        <v>249</v>
      </c>
      <c r="K34" t="s">
        <v>295</v>
      </c>
    </row>
    <row r="35" spans="1:11" x14ac:dyDescent="0.3">
      <c r="A35">
        <v>85</v>
      </c>
      <c r="B35" t="s">
        <v>183</v>
      </c>
      <c r="C35" t="s">
        <v>202</v>
      </c>
      <c r="D35" t="s">
        <v>323</v>
      </c>
      <c r="E35">
        <v>946</v>
      </c>
      <c r="F35" t="s">
        <v>203</v>
      </c>
      <c r="G35">
        <v>42629100</v>
      </c>
      <c r="H35">
        <v>2005</v>
      </c>
      <c r="J35" t="s">
        <v>261</v>
      </c>
      <c r="K35" t="s">
        <v>262</v>
      </c>
    </row>
    <row r="36" spans="1:11" x14ac:dyDescent="0.3">
      <c r="A36">
        <v>103</v>
      </c>
      <c r="B36" t="s">
        <v>163</v>
      </c>
      <c r="C36" t="s">
        <v>235</v>
      </c>
      <c r="D36" t="s">
        <v>313</v>
      </c>
      <c r="E36">
        <v>276</v>
      </c>
      <c r="F36" t="s">
        <v>236</v>
      </c>
      <c r="G36">
        <v>45251200</v>
      </c>
      <c r="H36">
        <v>1988</v>
      </c>
      <c r="J36" t="s">
        <v>254</v>
      </c>
      <c r="K36" t="s">
        <v>284</v>
      </c>
    </row>
    <row r="37" spans="1:11" x14ac:dyDescent="0.3">
      <c r="A37">
        <v>111</v>
      </c>
      <c r="B37" t="s">
        <v>176</v>
      </c>
      <c r="C37" t="s">
        <v>177</v>
      </c>
      <c r="D37" t="s">
        <v>313</v>
      </c>
      <c r="E37">
        <v>638</v>
      </c>
      <c r="F37" t="s">
        <v>240</v>
      </c>
      <c r="G37">
        <v>42341400</v>
      </c>
      <c r="H37">
        <v>1988</v>
      </c>
      <c r="J37" t="s">
        <v>254</v>
      </c>
      <c r="K37" t="s">
        <v>85</v>
      </c>
    </row>
    <row r="38" spans="1:11" x14ac:dyDescent="0.3">
      <c r="A38">
        <v>112</v>
      </c>
      <c r="B38" t="s">
        <v>163</v>
      </c>
      <c r="C38" t="s">
        <v>235</v>
      </c>
      <c r="D38" t="s">
        <v>310</v>
      </c>
      <c r="E38">
        <v>871</v>
      </c>
      <c r="F38" t="s">
        <v>237</v>
      </c>
      <c r="G38">
        <v>45340000</v>
      </c>
      <c r="H38">
        <v>1995</v>
      </c>
      <c r="J38" t="s">
        <v>254</v>
      </c>
      <c r="K38" t="s">
        <v>97</v>
      </c>
    </row>
    <row r="39" spans="1:11" x14ac:dyDescent="0.3">
      <c r="A39">
        <v>113</v>
      </c>
      <c r="B39" t="s">
        <v>163</v>
      </c>
      <c r="C39" t="s">
        <v>238</v>
      </c>
      <c r="D39" t="s">
        <v>312</v>
      </c>
      <c r="E39">
        <v>349</v>
      </c>
      <c r="F39" t="s">
        <v>239</v>
      </c>
      <c r="G39">
        <v>50055500</v>
      </c>
      <c r="H39">
        <v>2002</v>
      </c>
      <c r="J39" t="s">
        <v>254</v>
      </c>
      <c r="K39" t="s">
        <v>285</v>
      </c>
    </row>
    <row r="40" spans="1:11" x14ac:dyDescent="0.3">
      <c r="A40">
        <v>120</v>
      </c>
      <c r="B40" t="s">
        <v>263</v>
      </c>
      <c r="C40" t="s">
        <v>228</v>
      </c>
      <c r="D40" t="s">
        <v>311</v>
      </c>
      <c r="E40">
        <v>744</v>
      </c>
      <c r="F40" t="s">
        <v>230</v>
      </c>
      <c r="G40">
        <v>50062996</v>
      </c>
      <c r="H40">
        <v>2016</v>
      </c>
      <c r="J40" t="s">
        <v>258</v>
      </c>
      <c r="K40" t="s">
        <v>81</v>
      </c>
    </row>
    <row r="41" spans="1:11" x14ac:dyDescent="0.3">
      <c r="A41">
        <v>121</v>
      </c>
      <c r="B41" t="s">
        <v>263</v>
      </c>
      <c r="C41" t="s">
        <v>228</v>
      </c>
      <c r="D41" t="s">
        <v>311</v>
      </c>
      <c r="E41">
        <v>767</v>
      </c>
      <c r="F41" t="s">
        <v>233</v>
      </c>
      <c r="G41">
        <v>50063296</v>
      </c>
      <c r="H41">
        <v>2016</v>
      </c>
      <c r="J41" t="s">
        <v>260</v>
      </c>
      <c r="K41" t="s">
        <v>116</v>
      </c>
    </row>
    <row r="42" spans="1:11" x14ac:dyDescent="0.3">
      <c r="A42">
        <v>122</v>
      </c>
      <c r="B42" t="s">
        <v>263</v>
      </c>
      <c r="C42" t="s">
        <v>228</v>
      </c>
      <c r="D42" t="s">
        <v>311</v>
      </c>
      <c r="E42">
        <v>741</v>
      </c>
      <c r="F42" t="s">
        <v>229</v>
      </c>
      <c r="G42">
        <v>50062896</v>
      </c>
      <c r="H42">
        <v>2016</v>
      </c>
      <c r="J42" t="s">
        <v>259</v>
      </c>
      <c r="K42" t="s">
        <v>95</v>
      </c>
    </row>
    <row r="43" spans="1:11" x14ac:dyDescent="0.3">
      <c r="A43">
        <v>123</v>
      </c>
      <c r="B43" t="s">
        <v>263</v>
      </c>
      <c r="C43" t="s">
        <v>228</v>
      </c>
      <c r="D43" t="s">
        <v>311</v>
      </c>
      <c r="E43">
        <v>780</v>
      </c>
      <c r="F43" t="s">
        <v>234</v>
      </c>
      <c r="G43">
        <v>50063396</v>
      </c>
      <c r="H43">
        <v>2016</v>
      </c>
      <c r="J43" t="s">
        <v>257</v>
      </c>
      <c r="K43" t="s">
        <v>91</v>
      </c>
    </row>
    <row r="44" spans="1:11" x14ac:dyDescent="0.3">
      <c r="A44">
        <v>124</v>
      </c>
      <c r="B44" t="s">
        <v>263</v>
      </c>
      <c r="C44" t="s">
        <v>228</v>
      </c>
      <c r="D44" t="s">
        <v>311</v>
      </c>
      <c r="E44">
        <v>759</v>
      </c>
      <c r="F44" t="s">
        <v>231</v>
      </c>
      <c r="G44">
        <v>50063196</v>
      </c>
      <c r="H44">
        <v>2016</v>
      </c>
      <c r="J44" t="s">
        <v>256</v>
      </c>
      <c r="K44" t="s">
        <v>75</v>
      </c>
    </row>
    <row r="45" spans="1:11" x14ac:dyDescent="0.3">
      <c r="A45">
        <v>125</v>
      </c>
      <c r="B45" t="s">
        <v>263</v>
      </c>
      <c r="C45" t="s">
        <v>228</v>
      </c>
      <c r="D45" t="s">
        <v>311</v>
      </c>
      <c r="E45">
        <v>747</v>
      </c>
      <c r="F45" t="s">
        <v>232</v>
      </c>
      <c r="G45">
        <v>50063096</v>
      </c>
      <c r="H45">
        <v>2016</v>
      </c>
      <c r="J45" t="s">
        <v>255</v>
      </c>
      <c r="K45" t="s">
        <v>120</v>
      </c>
    </row>
    <row r="46" spans="1:11" x14ac:dyDescent="0.3">
      <c r="A46">
        <v>126</v>
      </c>
      <c r="B46" t="s">
        <v>274</v>
      </c>
      <c r="C46" t="s">
        <v>275</v>
      </c>
      <c r="D46" t="s">
        <v>361</v>
      </c>
      <c r="E46">
        <v>40</v>
      </c>
      <c r="F46" t="s">
        <v>279</v>
      </c>
      <c r="G46">
        <v>50063596</v>
      </c>
      <c r="H46">
        <v>2016</v>
      </c>
      <c r="J46" t="s">
        <v>258</v>
      </c>
      <c r="K46" t="s">
        <v>81</v>
      </c>
    </row>
    <row r="47" spans="1:11" x14ac:dyDescent="0.3">
      <c r="A47">
        <v>127</v>
      </c>
      <c r="B47" t="s">
        <v>274</v>
      </c>
      <c r="C47" t="s">
        <v>275</v>
      </c>
      <c r="D47" t="s">
        <v>361</v>
      </c>
      <c r="E47">
        <v>365</v>
      </c>
      <c r="F47" t="s">
        <v>282</v>
      </c>
      <c r="G47">
        <v>50063996</v>
      </c>
      <c r="H47">
        <v>2016</v>
      </c>
      <c r="J47" t="s">
        <v>260</v>
      </c>
      <c r="K47" t="s">
        <v>116</v>
      </c>
    </row>
    <row r="48" spans="1:11" x14ac:dyDescent="0.3">
      <c r="A48">
        <v>128</v>
      </c>
      <c r="B48" t="s">
        <v>274</v>
      </c>
      <c r="C48" t="s">
        <v>275</v>
      </c>
      <c r="D48" t="s">
        <v>361</v>
      </c>
      <c r="E48">
        <v>381</v>
      </c>
      <c r="F48" t="s">
        <v>281</v>
      </c>
      <c r="G48">
        <v>50063496</v>
      </c>
      <c r="H48">
        <v>2016</v>
      </c>
      <c r="J48" t="s">
        <v>259</v>
      </c>
      <c r="K48" t="s">
        <v>95</v>
      </c>
    </row>
    <row r="49" spans="1:13" x14ac:dyDescent="0.3">
      <c r="A49">
        <v>129</v>
      </c>
      <c r="B49" t="s">
        <v>274</v>
      </c>
      <c r="C49" t="s">
        <v>275</v>
      </c>
      <c r="D49" t="s">
        <v>361</v>
      </c>
      <c r="E49">
        <v>370</v>
      </c>
      <c r="F49" t="s">
        <v>278</v>
      </c>
      <c r="G49">
        <v>50063696</v>
      </c>
      <c r="H49">
        <v>2016</v>
      </c>
      <c r="J49" t="s">
        <v>257</v>
      </c>
      <c r="K49" t="s">
        <v>91</v>
      </c>
    </row>
    <row r="50" spans="1:13" x14ac:dyDescent="0.3">
      <c r="A50">
        <v>130</v>
      </c>
      <c r="B50" t="s">
        <v>274</v>
      </c>
      <c r="C50" t="s">
        <v>275</v>
      </c>
      <c r="D50" t="s">
        <v>361</v>
      </c>
      <c r="E50">
        <v>377</v>
      </c>
      <c r="F50" t="s">
        <v>276</v>
      </c>
      <c r="G50">
        <v>50063896</v>
      </c>
      <c r="H50">
        <v>2016</v>
      </c>
      <c r="J50" t="s">
        <v>256</v>
      </c>
      <c r="K50" t="s">
        <v>75</v>
      </c>
    </row>
    <row r="51" spans="1:13" x14ac:dyDescent="0.3">
      <c r="A51">
        <v>131</v>
      </c>
      <c r="B51" t="s">
        <v>274</v>
      </c>
      <c r="C51" t="s">
        <v>275</v>
      </c>
      <c r="D51" t="s">
        <v>361</v>
      </c>
      <c r="E51">
        <v>373</v>
      </c>
      <c r="F51" t="s">
        <v>283</v>
      </c>
      <c r="G51">
        <v>50063796</v>
      </c>
      <c r="H51">
        <v>2016</v>
      </c>
      <c r="J51" t="s">
        <v>255</v>
      </c>
      <c r="K51" t="s">
        <v>120</v>
      </c>
    </row>
    <row r="52" spans="1:13" x14ac:dyDescent="0.3">
      <c r="A52">
        <v>141</v>
      </c>
      <c r="B52" t="s">
        <v>163</v>
      </c>
      <c r="C52" t="s">
        <v>164</v>
      </c>
      <c r="D52" t="s">
        <v>314</v>
      </c>
      <c r="E52">
        <v>96</v>
      </c>
      <c r="F52" t="s">
        <v>165</v>
      </c>
      <c r="G52">
        <v>45315600</v>
      </c>
      <c r="H52">
        <v>1991</v>
      </c>
      <c r="J52" t="s">
        <v>261</v>
      </c>
      <c r="K52" t="s">
        <v>272</v>
      </c>
    </row>
    <row r="53" spans="1:13" x14ac:dyDescent="0.3">
      <c r="A53">
        <v>142</v>
      </c>
      <c r="B53" t="s">
        <v>263</v>
      </c>
      <c r="C53" t="s">
        <v>270</v>
      </c>
      <c r="D53" t="s">
        <v>313</v>
      </c>
      <c r="E53">
        <v>648</v>
      </c>
      <c r="F53" t="s">
        <v>271</v>
      </c>
      <c r="G53">
        <v>45244300</v>
      </c>
      <c r="J53" t="s">
        <v>261</v>
      </c>
      <c r="K53" t="s">
        <v>272</v>
      </c>
    </row>
    <row r="54" spans="1:13" x14ac:dyDescent="0.3">
      <c r="A54">
        <v>143</v>
      </c>
      <c r="B54" t="s">
        <v>157</v>
      </c>
      <c r="C54" t="s">
        <v>158</v>
      </c>
      <c r="D54" t="s">
        <v>313</v>
      </c>
      <c r="E54">
        <v>443</v>
      </c>
      <c r="F54" t="s">
        <v>159</v>
      </c>
      <c r="G54">
        <v>50004500</v>
      </c>
      <c r="H54">
        <v>1973</v>
      </c>
      <c r="J54" t="s">
        <v>261</v>
      </c>
      <c r="K54" t="s">
        <v>273</v>
      </c>
      <c r="M54" s="1"/>
    </row>
    <row r="55" spans="1:13" x14ac:dyDescent="0.3">
      <c r="A55">
        <v>145</v>
      </c>
      <c r="B55" t="s">
        <v>163</v>
      </c>
      <c r="C55" t="s">
        <v>168</v>
      </c>
      <c r="D55" t="s">
        <v>314</v>
      </c>
      <c r="E55">
        <v>566</v>
      </c>
      <c r="F55" t="s">
        <v>173</v>
      </c>
      <c r="G55">
        <v>50039900</v>
      </c>
      <c r="H55">
        <v>1983</v>
      </c>
      <c r="J55" t="s">
        <v>254</v>
      </c>
      <c r="K55" t="s">
        <v>280</v>
      </c>
    </row>
    <row r="56" spans="1:13" x14ac:dyDescent="0.3">
      <c r="A56">
        <v>146</v>
      </c>
      <c r="B56" t="s">
        <v>176</v>
      </c>
      <c r="C56" t="s">
        <v>177</v>
      </c>
      <c r="D56" t="s">
        <v>317</v>
      </c>
      <c r="E56">
        <v>23</v>
      </c>
      <c r="F56" t="s">
        <v>179</v>
      </c>
      <c r="G56">
        <v>50051800</v>
      </c>
      <c r="H56">
        <v>1999</v>
      </c>
      <c r="J56" t="s">
        <v>254</v>
      </c>
      <c r="K56" t="s">
        <v>85</v>
      </c>
    </row>
    <row r="57" spans="1:13" x14ac:dyDescent="0.3">
      <c r="A57">
        <v>147</v>
      </c>
      <c r="B57" t="s">
        <v>163</v>
      </c>
      <c r="C57" t="s">
        <v>164</v>
      </c>
      <c r="D57" t="s">
        <v>313</v>
      </c>
      <c r="E57">
        <v>267</v>
      </c>
      <c r="F57" t="s">
        <v>166</v>
      </c>
      <c r="G57">
        <v>45249800</v>
      </c>
      <c r="H57">
        <v>1988</v>
      </c>
      <c r="J57" t="s">
        <v>254</v>
      </c>
      <c r="K57" t="s">
        <v>111</v>
      </c>
    </row>
    <row r="58" spans="1:13" x14ac:dyDescent="0.3">
      <c r="A58">
        <v>148</v>
      </c>
      <c r="B58" t="s">
        <v>157</v>
      </c>
      <c r="C58" t="s">
        <v>174</v>
      </c>
      <c r="D58" t="s">
        <v>402</v>
      </c>
      <c r="E58">
        <v>483</v>
      </c>
      <c r="F58" t="s">
        <v>175</v>
      </c>
      <c r="G58">
        <v>50056900</v>
      </c>
      <c r="H58">
        <v>1999</v>
      </c>
      <c r="J58" t="s">
        <v>264</v>
      </c>
      <c r="K58" t="s">
        <v>264</v>
      </c>
    </row>
    <row r="59" spans="1:13" x14ac:dyDescent="0.3">
      <c r="A59">
        <v>149</v>
      </c>
      <c r="B59" t="s">
        <v>163</v>
      </c>
      <c r="C59" t="s">
        <v>171</v>
      </c>
      <c r="D59" t="s">
        <v>316</v>
      </c>
      <c r="E59">
        <v>393</v>
      </c>
      <c r="F59" t="s">
        <v>172</v>
      </c>
      <c r="G59">
        <v>50030000</v>
      </c>
      <c r="H59">
        <v>1994</v>
      </c>
      <c r="J59" t="s">
        <v>254</v>
      </c>
      <c r="K59" t="s">
        <v>277</v>
      </c>
    </row>
    <row r="60" spans="1:13" x14ac:dyDescent="0.3">
      <c r="A60">
        <v>150</v>
      </c>
      <c r="B60" t="s">
        <v>163</v>
      </c>
      <c r="C60" t="s">
        <v>168</v>
      </c>
      <c r="D60" t="s">
        <v>313</v>
      </c>
      <c r="E60">
        <v>294</v>
      </c>
      <c r="F60" t="s">
        <v>169</v>
      </c>
      <c r="G60">
        <v>45325800</v>
      </c>
      <c r="H60">
        <v>1987</v>
      </c>
      <c r="J60" t="s">
        <v>254</v>
      </c>
      <c r="K60" t="s">
        <v>286</v>
      </c>
    </row>
    <row r="61" spans="1:13" x14ac:dyDescent="0.3">
      <c r="A61">
        <v>152</v>
      </c>
      <c r="B61" t="s">
        <v>163</v>
      </c>
      <c r="C61" t="s">
        <v>168</v>
      </c>
      <c r="D61" t="s">
        <v>313</v>
      </c>
      <c r="E61">
        <v>284</v>
      </c>
      <c r="F61" t="s">
        <v>170</v>
      </c>
      <c r="G61">
        <v>45325700</v>
      </c>
      <c r="H61">
        <v>1990</v>
      </c>
      <c r="J61" t="s">
        <v>254</v>
      </c>
      <c r="K61" t="s">
        <v>287</v>
      </c>
    </row>
    <row r="62" spans="1:13" x14ac:dyDescent="0.3">
      <c r="A62">
        <v>153</v>
      </c>
      <c r="B62" t="s">
        <v>163</v>
      </c>
      <c r="C62" t="s">
        <v>164</v>
      </c>
      <c r="D62" t="s">
        <v>313</v>
      </c>
      <c r="E62">
        <v>269</v>
      </c>
      <c r="F62" t="s">
        <v>167</v>
      </c>
      <c r="G62">
        <v>45244400</v>
      </c>
      <c r="H62">
        <v>1987</v>
      </c>
      <c r="J62" t="s">
        <v>254</v>
      </c>
      <c r="K62" t="s">
        <v>100</v>
      </c>
    </row>
    <row r="63" spans="1:13" x14ac:dyDescent="0.3">
      <c r="A63">
        <v>155</v>
      </c>
      <c r="B63" t="s">
        <v>162</v>
      </c>
      <c r="C63" t="s">
        <v>160</v>
      </c>
      <c r="D63" t="s">
        <v>311</v>
      </c>
      <c r="E63">
        <v>769</v>
      </c>
      <c r="F63" t="s">
        <v>161</v>
      </c>
      <c r="G63">
        <v>50064696</v>
      </c>
      <c r="H63">
        <v>2017</v>
      </c>
      <c r="J63" t="s">
        <v>254</v>
      </c>
      <c r="K63" t="s">
        <v>82</v>
      </c>
      <c r="L63" t="s">
        <v>162</v>
      </c>
    </row>
    <row r="64" spans="1:13" x14ac:dyDescent="0.3">
      <c r="A64">
        <v>156</v>
      </c>
      <c r="B64" t="s">
        <v>180</v>
      </c>
      <c r="C64" t="s">
        <v>181</v>
      </c>
      <c r="D64" t="s">
        <v>313</v>
      </c>
      <c r="E64">
        <v>641</v>
      </c>
      <c r="F64" t="s">
        <v>182</v>
      </c>
      <c r="G64">
        <v>42407100</v>
      </c>
      <c r="H64">
        <v>1992</v>
      </c>
      <c r="J64" t="s">
        <v>264</v>
      </c>
      <c r="K64" t="s">
        <v>264</v>
      </c>
    </row>
    <row r="65" spans="1:11" x14ac:dyDescent="0.3">
      <c r="A65">
        <v>157</v>
      </c>
      <c r="B65" t="s">
        <v>176</v>
      </c>
      <c r="C65" t="s">
        <v>177</v>
      </c>
      <c r="D65" t="s">
        <v>318</v>
      </c>
      <c r="E65">
        <v>906</v>
      </c>
      <c r="F65" t="s">
        <v>178</v>
      </c>
      <c r="G65">
        <v>50050500</v>
      </c>
      <c r="H65">
        <v>1998</v>
      </c>
      <c r="J65" t="s">
        <v>254</v>
      </c>
      <c r="K65" t="s">
        <v>76</v>
      </c>
    </row>
  </sheetData>
  <autoFilter ref="A1:M64" xr:uid="{00000000-0001-0000-0000-000000000000}">
    <sortState xmlns:xlrd2="http://schemas.microsoft.com/office/spreadsheetml/2017/richdata2" ref="A2:M65">
      <sortCondition ref="A1:A64"/>
    </sortState>
  </autoFilter>
  <sortState xmlns:xlrd2="http://schemas.microsoft.com/office/spreadsheetml/2017/richdata2" ref="A2:M64">
    <sortCondition ref="J1:J64"/>
  </sortState>
  <phoneticPr fontId="4" type="noConversion"/>
  <conditionalFormatting sqref="P2:P200">
    <cfRule type="expression" dxfId="6" priority="3" stopIfTrue="1">
      <formula>AND($P2&lt;&gt;"", $P2&lt;=TODAY())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70BA-E795-4B88-A9BD-364D09B20114}">
  <dimension ref="A1:K75"/>
  <sheetViews>
    <sheetView topLeftCell="A34" workbookViewId="0">
      <selection activeCell="H44" sqref="H44"/>
    </sheetView>
  </sheetViews>
  <sheetFormatPr defaultRowHeight="14.4" x14ac:dyDescent="0.3"/>
  <cols>
    <col min="1" max="1" width="5.6640625" bestFit="1" customWidth="1"/>
    <col min="2" max="2" width="10.88671875" bestFit="1" customWidth="1"/>
    <col min="3" max="3" width="13.33203125" bestFit="1" customWidth="1"/>
    <col min="4" max="4" width="4.88671875" bestFit="1" customWidth="1"/>
    <col min="5" max="5" width="4" bestFit="1" customWidth="1"/>
    <col min="6" max="6" width="7.77734375" customWidth="1"/>
    <col min="7" max="7" width="5.77734375" customWidth="1"/>
    <col min="8" max="8" width="10.109375" style="8" bestFit="1" customWidth="1"/>
    <col min="9" max="9" width="12.44140625" style="8" bestFit="1" customWidth="1"/>
  </cols>
  <sheetData>
    <row r="1" spans="1:11" s="9" customFormat="1" x14ac:dyDescent="0.3">
      <c r="A1" s="16" t="s">
        <v>247</v>
      </c>
      <c r="B1" s="17" t="s">
        <v>155</v>
      </c>
      <c r="C1" s="17" t="s">
        <v>2</v>
      </c>
      <c r="D1" s="17" t="s">
        <v>407</v>
      </c>
      <c r="E1" s="17" t="s">
        <v>407</v>
      </c>
      <c r="F1" s="17" t="s">
        <v>1</v>
      </c>
      <c r="G1" s="17" t="s">
        <v>408</v>
      </c>
      <c r="H1" s="18" t="s">
        <v>409</v>
      </c>
      <c r="I1" s="18" t="s">
        <v>410</v>
      </c>
      <c r="J1" s="17" t="s">
        <v>411</v>
      </c>
      <c r="K1" s="19" t="s">
        <v>412</v>
      </c>
    </row>
    <row r="2" spans="1:11" x14ac:dyDescent="0.3">
      <c r="A2" s="20">
        <v>77</v>
      </c>
      <c r="B2" s="10" t="s">
        <v>217</v>
      </c>
      <c r="C2" s="10" t="s">
        <v>222</v>
      </c>
      <c r="D2" s="10" t="s">
        <v>321</v>
      </c>
      <c r="E2" s="10">
        <v>66</v>
      </c>
      <c r="F2" s="10" t="s">
        <v>223</v>
      </c>
      <c r="G2" s="10"/>
      <c r="H2" s="11">
        <v>0</v>
      </c>
      <c r="I2" s="11">
        <f t="shared" ref="I2:I33" si="0">EDATE(H2,J2)</f>
        <v>731</v>
      </c>
      <c r="J2" s="10">
        <v>24</v>
      </c>
      <c r="K2" s="21">
        <f t="shared" ref="K2:K33" ca="1" si="1">IF(I2 &lt; TODAY(), -DATEDIF(I2, TODAY(), "M"), DATEDIF(TODAY(), I2, "M"))</f>
        <v>-1492</v>
      </c>
    </row>
    <row r="3" spans="1:11" x14ac:dyDescent="0.3">
      <c r="A3" s="20">
        <v>83</v>
      </c>
      <c r="B3" s="10" t="s">
        <v>183</v>
      </c>
      <c r="C3" s="10" t="s">
        <v>199</v>
      </c>
      <c r="D3" s="10" t="s">
        <v>319</v>
      </c>
      <c r="E3" s="10">
        <v>437</v>
      </c>
      <c r="F3" s="10" t="s">
        <v>200</v>
      </c>
      <c r="G3" s="10"/>
      <c r="H3" s="11">
        <v>0</v>
      </c>
      <c r="I3" s="11">
        <f t="shared" si="0"/>
        <v>731</v>
      </c>
      <c r="J3" s="10">
        <v>24</v>
      </c>
      <c r="K3" s="21">
        <f t="shared" ca="1" si="1"/>
        <v>-1492</v>
      </c>
    </row>
    <row r="4" spans="1:11" x14ac:dyDescent="0.3">
      <c r="A4" s="20">
        <v>69</v>
      </c>
      <c r="B4" s="10" t="s">
        <v>250</v>
      </c>
      <c r="C4" s="10" t="s">
        <v>327</v>
      </c>
      <c r="D4" s="10" t="s">
        <v>315</v>
      </c>
      <c r="E4" s="10">
        <v>322</v>
      </c>
      <c r="F4" s="10" t="s">
        <v>328</v>
      </c>
      <c r="G4" s="10">
        <v>74</v>
      </c>
      <c r="H4" s="11">
        <v>43831</v>
      </c>
      <c r="I4" s="11">
        <f t="shared" si="0"/>
        <v>44562</v>
      </c>
      <c r="J4" s="10">
        <v>24</v>
      </c>
      <c r="K4" s="21">
        <f t="shared" ca="1" si="1"/>
        <v>-52</v>
      </c>
    </row>
    <row r="5" spans="1:11" x14ac:dyDescent="0.3">
      <c r="A5" s="20">
        <v>156</v>
      </c>
      <c r="B5" s="10" t="s">
        <v>180</v>
      </c>
      <c r="C5" s="10" t="s">
        <v>181</v>
      </c>
      <c r="D5" s="10" t="s">
        <v>313</v>
      </c>
      <c r="E5" s="10">
        <v>641</v>
      </c>
      <c r="F5" s="10" t="s">
        <v>182</v>
      </c>
      <c r="G5" s="10">
        <v>75</v>
      </c>
      <c r="H5" s="11">
        <v>44532</v>
      </c>
      <c r="I5" s="11">
        <f t="shared" si="0"/>
        <v>45262</v>
      </c>
      <c r="J5" s="10">
        <v>24</v>
      </c>
      <c r="K5" s="21">
        <f t="shared" ca="1" si="1"/>
        <v>-29</v>
      </c>
    </row>
    <row r="6" spans="1:11" x14ac:dyDescent="0.3">
      <c r="A6" s="20">
        <v>72</v>
      </c>
      <c r="B6" s="10" t="s">
        <v>217</v>
      </c>
      <c r="C6" s="10" t="s">
        <v>224</v>
      </c>
      <c r="D6" s="10" t="s">
        <v>225</v>
      </c>
      <c r="E6" s="10" t="s">
        <v>403</v>
      </c>
      <c r="F6" s="10" t="s">
        <v>225</v>
      </c>
      <c r="G6" s="10">
        <v>77</v>
      </c>
      <c r="H6" s="11">
        <v>44562</v>
      </c>
      <c r="I6" s="11">
        <f t="shared" si="0"/>
        <v>45292</v>
      </c>
      <c r="J6" s="10">
        <v>24</v>
      </c>
      <c r="K6" s="21">
        <f t="shared" ca="1" si="1"/>
        <v>-28</v>
      </c>
    </row>
    <row r="7" spans="1:11" x14ac:dyDescent="0.3">
      <c r="A7" s="20">
        <v>124</v>
      </c>
      <c r="B7" s="10" t="s">
        <v>263</v>
      </c>
      <c r="C7" s="10" t="s">
        <v>228</v>
      </c>
      <c r="D7" s="10" t="s">
        <v>311</v>
      </c>
      <c r="E7" s="10">
        <v>759</v>
      </c>
      <c r="F7" s="10" t="s">
        <v>231</v>
      </c>
      <c r="G7" s="10">
        <v>110</v>
      </c>
      <c r="H7" s="11">
        <v>44926</v>
      </c>
      <c r="I7" s="11">
        <f t="shared" si="0"/>
        <v>45657</v>
      </c>
      <c r="J7" s="10">
        <v>24</v>
      </c>
      <c r="K7" s="21">
        <f t="shared" ca="1" si="1"/>
        <v>-16</v>
      </c>
    </row>
    <row r="8" spans="1:11" x14ac:dyDescent="0.3">
      <c r="A8" s="20">
        <v>111</v>
      </c>
      <c r="B8" s="10" t="s">
        <v>176</v>
      </c>
      <c r="C8" s="10" t="s">
        <v>177</v>
      </c>
      <c r="D8" s="10" t="s">
        <v>313</v>
      </c>
      <c r="E8" s="10">
        <v>638</v>
      </c>
      <c r="F8" s="10" t="s">
        <v>240</v>
      </c>
      <c r="G8" s="10">
        <v>190</v>
      </c>
      <c r="H8" s="11">
        <v>46082</v>
      </c>
      <c r="I8" s="11">
        <f t="shared" si="0"/>
        <v>46813</v>
      </c>
      <c r="J8" s="10">
        <v>24</v>
      </c>
      <c r="K8" s="21">
        <f t="shared" ca="1" si="1"/>
        <v>21</v>
      </c>
    </row>
    <row r="9" spans="1:11" x14ac:dyDescent="0.3">
      <c r="A9" s="20">
        <v>111</v>
      </c>
      <c r="B9" s="10" t="s">
        <v>176</v>
      </c>
      <c r="C9" s="10" t="s">
        <v>177</v>
      </c>
      <c r="D9" s="10" t="s">
        <v>313</v>
      </c>
      <c r="E9" s="10">
        <v>638</v>
      </c>
      <c r="F9" s="10" t="s">
        <v>240</v>
      </c>
      <c r="G9" s="10">
        <v>190</v>
      </c>
      <c r="H9" s="11">
        <v>46082</v>
      </c>
      <c r="I9" s="11">
        <f t="shared" si="0"/>
        <v>46813</v>
      </c>
      <c r="J9" s="10">
        <v>24</v>
      </c>
      <c r="K9" s="21">
        <f t="shared" ca="1" si="1"/>
        <v>21</v>
      </c>
    </row>
    <row r="10" spans="1:11" x14ac:dyDescent="0.3">
      <c r="A10" s="20">
        <v>53</v>
      </c>
      <c r="B10" s="10" t="s">
        <v>183</v>
      </c>
      <c r="C10" s="10" t="s">
        <v>199</v>
      </c>
      <c r="D10" s="10" t="s">
        <v>319</v>
      </c>
      <c r="E10" s="10">
        <v>76</v>
      </c>
      <c r="F10" s="10" t="s">
        <v>201</v>
      </c>
      <c r="G10" s="10">
        <v>75</v>
      </c>
      <c r="H10" s="11">
        <v>45108</v>
      </c>
      <c r="I10" s="11">
        <f t="shared" si="0"/>
        <v>45839</v>
      </c>
      <c r="J10" s="10">
        <v>24</v>
      </c>
      <c r="K10" s="21">
        <f t="shared" ca="1" si="1"/>
        <v>-10</v>
      </c>
    </row>
    <row r="11" spans="1:11" x14ac:dyDescent="0.3">
      <c r="A11" s="20">
        <v>148</v>
      </c>
      <c r="B11" s="10" t="s">
        <v>157</v>
      </c>
      <c r="C11" s="10" t="s">
        <v>174</v>
      </c>
      <c r="D11" s="10" t="s">
        <v>402</v>
      </c>
      <c r="E11" s="10">
        <v>483</v>
      </c>
      <c r="F11" s="10" t="s">
        <v>175</v>
      </c>
      <c r="G11" s="10">
        <v>60</v>
      </c>
      <c r="H11" s="11">
        <v>45169</v>
      </c>
      <c r="I11" s="11">
        <f t="shared" si="0"/>
        <v>45900</v>
      </c>
      <c r="J11" s="10">
        <v>24</v>
      </c>
      <c r="K11" s="21">
        <f t="shared" ca="1" si="1"/>
        <v>-8</v>
      </c>
    </row>
    <row r="12" spans="1:11" x14ac:dyDescent="0.3">
      <c r="A12" s="20">
        <v>147</v>
      </c>
      <c r="B12" s="10" t="s">
        <v>163</v>
      </c>
      <c r="C12" s="10" t="s">
        <v>164</v>
      </c>
      <c r="D12" s="10" t="s">
        <v>313</v>
      </c>
      <c r="E12" s="10">
        <v>267</v>
      </c>
      <c r="F12" s="10" t="s">
        <v>166</v>
      </c>
      <c r="G12" s="10">
        <v>75</v>
      </c>
      <c r="H12" s="11">
        <v>45199</v>
      </c>
      <c r="I12" s="11">
        <f t="shared" si="0"/>
        <v>45930</v>
      </c>
      <c r="J12" s="10">
        <v>24</v>
      </c>
      <c r="K12" s="21">
        <f t="shared" ca="1" si="1"/>
        <v>-7</v>
      </c>
    </row>
    <row r="13" spans="1:11" x14ac:dyDescent="0.3">
      <c r="A13" s="20">
        <v>69</v>
      </c>
      <c r="B13" s="10" t="s">
        <v>250</v>
      </c>
      <c r="C13" s="10" t="s">
        <v>327</v>
      </c>
      <c r="D13" s="10" t="s">
        <v>315</v>
      </c>
      <c r="E13" s="10">
        <v>322</v>
      </c>
      <c r="F13" s="10" t="s">
        <v>328</v>
      </c>
      <c r="G13" s="10">
        <v>75</v>
      </c>
      <c r="H13" s="11">
        <v>45199</v>
      </c>
      <c r="I13" s="11">
        <f t="shared" si="0"/>
        <v>45930</v>
      </c>
      <c r="J13" s="10">
        <v>24</v>
      </c>
      <c r="K13" s="21">
        <f t="shared" ca="1" si="1"/>
        <v>-7</v>
      </c>
    </row>
    <row r="14" spans="1:11" x14ac:dyDescent="0.3">
      <c r="A14" s="20">
        <v>22</v>
      </c>
      <c r="B14" s="10" t="s">
        <v>183</v>
      </c>
      <c r="C14" s="10" t="s">
        <v>192</v>
      </c>
      <c r="D14" s="10" t="s">
        <v>309</v>
      </c>
      <c r="E14" s="10">
        <v>465</v>
      </c>
      <c r="F14" s="10" t="s">
        <v>194</v>
      </c>
      <c r="G14" s="10">
        <v>75</v>
      </c>
      <c r="H14" s="11">
        <v>45199</v>
      </c>
      <c r="I14" s="11">
        <f t="shared" si="0"/>
        <v>45930</v>
      </c>
      <c r="J14" s="10">
        <v>24</v>
      </c>
      <c r="K14" s="21">
        <f t="shared" ca="1" si="1"/>
        <v>-7</v>
      </c>
    </row>
    <row r="15" spans="1:11" x14ac:dyDescent="0.3">
      <c r="A15" s="20">
        <v>23</v>
      </c>
      <c r="B15" s="10" t="s">
        <v>183</v>
      </c>
      <c r="C15" s="10" t="s">
        <v>192</v>
      </c>
      <c r="D15" s="10" t="s">
        <v>309</v>
      </c>
      <c r="E15" s="10">
        <v>466</v>
      </c>
      <c r="F15" s="10" t="s">
        <v>195</v>
      </c>
      <c r="G15" s="10">
        <v>75</v>
      </c>
      <c r="H15" s="11">
        <v>45199</v>
      </c>
      <c r="I15" s="11">
        <f t="shared" si="0"/>
        <v>45930</v>
      </c>
      <c r="J15" s="10">
        <v>24</v>
      </c>
      <c r="K15" s="21">
        <f t="shared" ca="1" si="1"/>
        <v>-7</v>
      </c>
    </row>
    <row r="16" spans="1:11" x14ac:dyDescent="0.3">
      <c r="A16" s="20">
        <v>24</v>
      </c>
      <c r="B16" s="10" t="s">
        <v>183</v>
      </c>
      <c r="C16" s="10" t="s">
        <v>192</v>
      </c>
      <c r="D16" s="10" t="s">
        <v>309</v>
      </c>
      <c r="E16" s="10">
        <v>467</v>
      </c>
      <c r="F16" s="10" t="s">
        <v>196</v>
      </c>
      <c r="G16" s="10">
        <v>75</v>
      </c>
      <c r="H16" s="11">
        <v>45199</v>
      </c>
      <c r="I16" s="11">
        <f t="shared" si="0"/>
        <v>45930</v>
      </c>
      <c r="J16" s="10">
        <v>24</v>
      </c>
      <c r="K16" s="21">
        <f t="shared" ca="1" si="1"/>
        <v>-7</v>
      </c>
    </row>
    <row r="17" spans="1:11" x14ac:dyDescent="0.3">
      <c r="A17" s="20">
        <v>112</v>
      </c>
      <c r="B17" s="10" t="s">
        <v>163</v>
      </c>
      <c r="C17" s="10" t="s">
        <v>235</v>
      </c>
      <c r="D17" s="10" t="s">
        <v>310</v>
      </c>
      <c r="E17" s="10">
        <v>871</v>
      </c>
      <c r="F17" s="10" t="s">
        <v>237</v>
      </c>
      <c r="G17" s="10">
        <v>180</v>
      </c>
      <c r="H17" s="11">
        <v>45199</v>
      </c>
      <c r="I17" s="11">
        <f t="shared" si="0"/>
        <v>45930</v>
      </c>
      <c r="J17" s="10">
        <v>24</v>
      </c>
      <c r="K17" s="21">
        <f t="shared" ca="1" si="1"/>
        <v>-7</v>
      </c>
    </row>
    <row r="18" spans="1:11" x14ac:dyDescent="0.3">
      <c r="A18" s="20">
        <v>112</v>
      </c>
      <c r="B18" s="10" t="s">
        <v>163</v>
      </c>
      <c r="C18" s="10" t="s">
        <v>235</v>
      </c>
      <c r="D18" s="10" t="s">
        <v>310</v>
      </c>
      <c r="E18" s="10">
        <v>871</v>
      </c>
      <c r="F18" s="10" t="s">
        <v>237</v>
      </c>
      <c r="G18" s="10">
        <v>180</v>
      </c>
      <c r="H18" s="11">
        <v>45199</v>
      </c>
      <c r="I18" s="11">
        <f t="shared" si="0"/>
        <v>45930</v>
      </c>
      <c r="J18" s="10">
        <v>24</v>
      </c>
      <c r="K18" s="21">
        <f t="shared" ca="1" si="1"/>
        <v>-7</v>
      </c>
    </row>
    <row r="19" spans="1:11" x14ac:dyDescent="0.3">
      <c r="A19" s="20">
        <v>146</v>
      </c>
      <c r="B19" s="10" t="s">
        <v>176</v>
      </c>
      <c r="C19" s="10" t="s">
        <v>177</v>
      </c>
      <c r="D19" s="10" t="s">
        <v>317</v>
      </c>
      <c r="E19" s="10">
        <v>23</v>
      </c>
      <c r="F19" s="10" t="s">
        <v>179</v>
      </c>
      <c r="G19" s="10">
        <v>190</v>
      </c>
      <c r="H19" s="11">
        <v>45230</v>
      </c>
      <c r="I19" s="11">
        <f t="shared" si="0"/>
        <v>45961</v>
      </c>
      <c r="J19" s="10">
        <v>24</v>
      </c>
      <c r="K19" s="21">
        <f t="shared" ca="1" si="1"/>
        <v>-6</v>
      </c>
    </row>
    <row r="20" spans="1:11" x14ac:dyDescent="0.3">
      <c r="A20" s="20">
        <v>146</v>
      </c>
      <c r="B20" s="10" t="s">
        <v>176</v>
      </c>
      <c r="C20" s="10" t="s">
        <v>177</v>
      </c>
      <c r="D20" s="10" t="s">
        <v>317</v>
      </c>
      <c r="E20" s="10">
        <v>23</v>
      </c>
      <c r="F20" s="10" t="s">
        <v>179</v>
      </c>
      <c r="G20" s="10">
        <v>190</v>
      </c>
      <c r="H20" s="11">
        <v>45230</v>
      </c>
      <c r="I20" s="11">
        <f t="shared" si="0"/>
        <v>45961</v>
      </c>
      <c r="J20" s="10">
        <v>24</v>
      </c>
      <c r="K20" s="21">
        <f t="shared" ca="1" si="1"/>
        <v>-6</v>
      </c>
    </row>
    <row r="21" spans="1:11" x14ac:dyDescent="0.3">
      <c r="A21" s="20">
        <v>37</v>
      </c>
      <c r="B21" s="10" t="s">
        <v>211</v>
      </c>
      <c r="C21" s="10" t="s">
        <v>212</v>
      </c>
      <c r="D21" s="10" t="s">
        <v>319</v>
      </c>
      <c r="E21" s="10">
        <v>786</v>
      </c>
      <c r="F21" s="10" t="s">
        <v>214</v>
      </c>
      <c r="G21" s="10">
        <v>100</v>
      </c>
      <c r="H21" s="11">
        <v>45231</v>
      </c>
      <c r="I21" s="11">
        <f t="shared" si="0"/>
        <v>45962</v>
      </c>
      <c r="J21" s="10">
        <v>24</v>
      </c>
      <c r="K21" s="21">
        <f t="shared" ca="1" si="1"/>
        <v>-6</v>
      </c>
    </row>
    <row r="22" spans="1:11" x14ac:dyDescent="0.3">
      <c r="A22" s="20">
        <v>37</v>
      </c>
      <c r="B22" s="10" t="s">
        <v>211</v>
      </c>
      <c r="C22" s="10" t="s">
        <v>212</v>
      </c>
      <c r="D22" s="10" t="s">
        <v>319</v>
      </c>
      <c r="E22" s="10">
        <v>786</v>
      </c>
      <c r="F22" s="10" t="s">
        <v>214</v>
      </c>
      <c r="G22" s="10">
        <v>100</v>
      </c>
      <c r="H22" s="11">
        <v>45231</v>
      </c>
      <c r="I22" s="11">
        <f t="shared" si="0"/>
        <v>45962</v>
      </c>
      <c r="J22" s="10">
        <v>24</v>
      </c>
      <c r="K22" s="21">
        <f t="shared" ca="1" si="1"/>
        <v>-6</v>
      </c>
    </row>
    <row r="23" spans="1:11" x14ac:dyDescent="0.3">
      <c r="A23" s="20">
        <v>80</v>
      </c>
      <c r="B23" s="10" t="s">
        <v>253</v>
      </c>
      <c r="C23" s="10" t="s">
        <v>226</v>
      </c>
      <c r="D23" s="10" t="s">
        <v>322</v>
      </c>
      <c r="E23" s="10">
        <v>114</v>
      </c>
      <c r="F23" s="10" t="s">
        <v>404</v>
      </c>
      <c r="G23" s="10">
        <v>100</v>
      </c>
      <c r="H23" s="11">
        <v>45260</v>
      </c>
      <c r="I23" s="11">
        <f t="shared" si="0"/>
        <v>45991</v>
      </c>
      <c r="J23" s="10">
        <v>24</v>
      </c>
      <c r="K23" s="21">
        <f t="shared" ca="1" si="1"/>
        <v>-5</v>
      </c>
    </row>
    <row r="24" spans="1:11" x14ac:dyDescent="0.3">
      <c r="A24" s="20">
        <v>157</v>
      </c>
      <c r="B24" s="10" t="s">
        <v>176</v>
      </c>
      <c r="C24" s="10" t="s">
        <v>177</v>
      </c>
      <c r="D24" s="10" t="s">
        <v>318</v>
      </c>
      <c r="E24" s="10">
        <v>906</v>
      </c>
      <c r="F24" s="10" t="s">
        <v>178</v>
      </c>
      <c r="G24" s="10">
        <v>190</v>
      </c>
      <c r="H24" s="11">
        <v>45260</v>
      </c>
      <c r="I24" s="11">
        <f t="shared" si="0"/>
        <v>45991</v>
      </c>
      <c r="J24" s="10">
        <v>24</v>
      </c>
      <c r="K24" s="21">
        <f t="shared" ca="1" si="1"/>
        <v>-5</v>
      </c>
    </row>
    <row r="25" spans="1:11" x14ac:dyDescent="0.3">
      <c r="A25" s="20">
        <v>85</v>
      </c>
      <c r="B25" s="10" t="s">
        <v>183</v>
      </c>
      <c r="C25" s="10" t="s">
        <v>202</v>
      </c>
      <c r="D25" s="10" t="s">
        <v>323</v>
      </c>
      <c r="E25" s="10">
        <v>946</v>
      </c>
      <c r="F25" s="10" t="s">
        <v>203</v>
      </c>
      <c r="G25" s="10">
        <v>100</v>
      </c>
      <c r="H25" s="11">
        <v>45260</v>
      </c>
      <c r="I25" s="11">
        <f t="shared" si="0"/>
        <v>45991</v>
      </c>
      <c r="J25" s="10">
        <v>24</v>
      </c>
      <c r="K25" s="21">
        <f t="shared" ca="1" si="1"/>
        <v>-5</v>
      </c>
    </row>
    <row r="26" spans="1:11" x14ac:dyDescent="0.3">
      <c r="A26" s="20">
        <v>85</v>
      </c>
      <c r="B26" s="10" t="s">
        <v>183</v>
      </c>
      <c r="C26" s="10" t="s">
        <v>202</v>
      </c>
      <c r="D26" s="10" t="s">
        <v>323</v>
      </c>
      <c r="E26" s="10">
        <v>946</v>
      </c>
      <c r="F26" s="10" t="s">
        <v>203</v>
      </c>
      <c r="G26" s="10">
        <v>100</v>
      </c>
      <c r="H26" s="3">
        <v>45260</v>
      </c>
      <c r="I26" s="11">
        <f t="shared" si="0"/>
        <v>45991</v>
      </c>
      <c r="J26" s="10">
        <v>24</v>
      </c>
      <c r="K26" s="21">
        <f t="shared" ca="1" si="1"/>
        <v>-5</v>
      </c>
    </row>
    <row r="27" spans="1:11" x14ac:dyDescent="0.3">
      <c r="A27" s="20">
        <v>3</v>
      </c>
      <c r="B27" s="10" t="s">
        <v>183</v>
      </c>
      <c r="C27" s="10" t="s">
        <v>184</v>
      </c>
      <c r="D27" s="10" t="s">
        <v>309</v>
      </c>
      <c r="E27" s="10">
        <v>474</v>
      </c>
      <c r="F27" s="10" t="s">
        <v>189</v>
      </c>
      <c r="G27" s="10">
        <v>120</v>
      </c>
      <c r="H27" s="11">
        <v>45261</v>
      </c>
      <c r="I27" s="11">
        <f t="shared" si="0"/>
        <v>45992</v>
      </c>
      <c r="J27" s="10">
        <v>24</v>
      </c>
      <c r="K27" s="21">
        <f t="shared" ca="1" si="1"/>
        <v>-5</v>
      </c>
    </row>
    <row r="28" spans="1:11" x14ac:dyDescent="0.3">
      <c r="A28" s="20">
        <v>45</v>
      </c>
      <c r="B28" s="10" t="s">
        <v>211</v>
      </c>
      <c r="C28" s="10" t="s">
        <v>212</v>
      </c>
      <c r="D28" s="10" t="s">
        <v>319</v>
      </c>
      <c r="E28" s="10">
        <v>531</v>
      </c>
      <c r="F28" s="10" t="s">
        <v>213</v>
      </c>
      <c r="G28" s="10">
        <v>100</v>
      </c>
      <c r="H28" s="11">
        <v>45261</v>
      </c>
      <c r="I28" s="11">
        <f t="shared" si="0"/>
        <v>45992</v>
      </c>
      <c r="J28" s="10">
        <v>24</v>
      </c>
      <c r="K28" s="21">
        <f t="shared" ca="1" si="1"/>
        <v>-5</v>
      </c>
    </row>
    <row r="29" spans="1:11" x14ac:dyDescent="0.3">
      <c r="A29" s="20">
        <v>45</v>
      </c>
      <c r="B29" s="10" t="s">
        <v>211</v>
      </c>
      <c r="C29" s="10" t="s">
        <v>212</v>
      </c>
      <c r="D29" s="10" t="s">
        <v>319</v>
      </c>
      <c r="E29" s="10">
        <v>531</v>
      </c>
      <c r="F29" s="10" t="s">
        <v>213</v>
      </c>
      <c r="G29" s="10">
        <v>120</v>
      </c>
      <c r="H29" s="11">
        <v>45322</v>
      </c>
      <c r="I29" s="11">
        <f t="shared" si="0"/>
        <v>46053</v>
      </c>
      <c r="J29" s="10">
        <v>24</v>
      </c>
      <c r="K29" s="21">
        <f t="shared" ca="1" si="1"/>
        <v>-3</v>
      </c>
    </row>
    <row r="30" spans="1:11" x14ac:dyDescent="0.3">
      <c r="A30" s="20">
        <v>143</v>
      </c>
      <c r="B30" s="10" t="s">
        <v>157</v>
      </c>
      <c r="C30" s="10" t="s">
        <v>158</v>
      </c>
      <c r="D30" s="10" t="s">
        <v>313</v>
      </c>
      <c r="E30" s="10">
        <v>443</v>
      </c>
      <c r="F30" s="10" t="s">
        <v>159</v>
      </c>
      <c r="G30" s="10">
        <v>100</v>
      </c>
      <c r="H30" s="11">
        <v>45382</v>
      </c>
      <c r="I30" s="11">
        <f t="shared" si="0"/>
        <v>46112</v>
      </c>
      <c r="J30" s="10">
        <v>24</v>
      </c>
      <c r="K30" s="21">
        <f t="shared" ca="1" si="1"/>
        <v>-1</v>
      </c>
    </row>
    <row r="31" spans="1:11" x14ac:dyDescent="0.3">
      <c r="A31" s="20">
        <v>121</v>
      </c>
      <c r="B31" s="10" t="s">
        <v>263</v>
      </c>
      <c r="C31" s="10" t="s">
        <v>228</v>
      </c>
      <c r="D31" s="10" t="s">
        <v>311</v>
      </c>
      <c r="E31" s="10">
        <v>767</v>
      </c>
      <c r="F31" s="10" t="s">
        <v>233</v>
      </c>
      <c r="G31" s="10">
        <v>100</v>
      </c>
      <c r="H31" s="11">
        <v>45382</v>
      </c>
      <c r="I31" s="11">
        <f t="shared" si="0"/>
        <v>46112</v>
      </c>
      <c r="J31" s="10">
        <v>24</v>
      </c>
      <c r="K31" s="21">
        <f t="shared" ca="1" si="1"/>
        <v>-1</v>
      </c>
    </row>
    <row r="32" spans="1:11" x14ac:dyDescent="0.3">
      <c r="A32" s="20">
        <v>141</v>
      </c>
      <c r="B32" s="10" t="s">
        <v>163</v>
      </c>
      <c r="C32" s="10" t="s">
        <v>164</v>
      </c>
      <c r="D32" s="10" t="s">
        <v>314</v>
      </c>
      <c r="E32" s="10">
        <v>96</v>
      </c>
      <c r="F32" s="10" t="s">
        <v>165</v>
      </c>
      <c r="G32" s="10">
        <v>78</v>
      </c>
      <c r="H32" s="11">
        <v>45443</v>
      </c>
      <c r="I32" s="11">
        <f t="shared" si="0"/>
        <v>46173</v>
      </c>
      <c r="J32" s="10">
        <v>24</v>
      </c>
      <c r="K32" s="21">
        <f t="shared" ca="1" si="1"/>
        <v>0</v>
      </c>
    </row>
    <row r="33" spans="1:11" x14ac:dyDescent="0.3">
      <c r="A33" s="20">
        <v>103</v>
      </c>
      <c r="B33" s="10" t="s">
        <v>163</v>
      </c>
      <c r="C33" s="10" t="s">
        <v>235</v>
      </c>
      <c r="D33" s="10" t="s">
        <v>313</v>
      </c>
      <c r="E33" s="10">
        <v>276</v>
      </c>
      <c r="F33" s="10" t="s">
        <v>236</v>
      </c>
      <c r="G33" s="10">
        <v>190</v>
      </c>
      <c r="H33" s="11">
        <v>45443</v>
      </c>
      <c r="I33" s="11">
        <f t="shared" si="0"/>
        <v>46173</v>
      </c>
      <c r="J33" s="10">
        <v>24</v>
      </c>
      <c r="K33" s="21">
        <f t="shared" ca="1" si="1"/>
        <v>0</v>
      </c>
    </row>
    <row r="34" spans="1:11" x14ac:dyDescent="0.3">
      <c r="A34" s="20">
        <v>103</v>
      </c>
      <c r="B34" s="10" t="s">
        <v>163</v>
      </c>
      <c r="C34" s="10" t="s">
        <v>235</v>
      </c>
      <c r="D34" s="10" t="s">
        <v>313</v>
      </c>
      <c r="E34" s="10">
        <v>276</v>
      </c>
      <c r="F34" s="10" t="s">
        <v>236</v>
      </c>
      <c r="G34" s="10">
        <v>190</v>
      </c>
      <c r="H34" s="11">
        <v>45443</v>
      </c>
      <c r="I34" s="11">
        <f t="shared" ref="I34:I65" si="2">EDATE(H34,J34)</f>
        <v>46173</v>
      </c>
      <c r="J34" s="10">
        <v>24</v>
      </c>
      <c r="K34" s="21">
        <f t="shared" ref="K34:K65" ca="1" si="3">IF(I34 &lt; TODAY(), -DATEDIF(I34, TODAY(), "M"), DATEDIF(TODAY(), I34, "M"))</f>
        <v>0</v>
      </c>
    </row>
    <row r="35" spans="1:11" x14ac:dyDescent="0.3">
      <c r="A35" s="20">
        <v>113</v>
      </c>
      <c r="B35" s="10" t="s">
        <v>163</v>
      </c>
      <c r="C35" s="10" t="s">
        <v>238</v>
      </c>
      <c r="D35" s="10" t="s">
        <v>312</v>
      </c>
      <c r="E35" s="10">
        <v>349</v>
      </c>
      <c r="F35" s="10" t="s">
        <v>239</v>
      </c>
      <c r="G35" s="10">
        <v>190</v>
      </c>
      <c r="H35" s="11">
        <v>45443</v>
      </c>
      <c r="I35" s="11">
        <f t="shared" si="2"/>
        <v>46173</v>
      </c>
      <c r="J35" s="10">
        <v>24</v>
      </c>
      <c r="K35" s="21">
        <f t="shared" ca="1" si="3"/>
        <v>0</v>
      </c>
    </row>
    <row r="36" spans="1:11" x14ac:dyDescent="0.3">
      <c r="A36" s="20">
        <v>113</v>
      </c>
      <c r="B36" s="10" t="s">
        <v>163</v>
      </c>
      <c r="C36" s="10" t="s">
        <v>238</v>
      </c>
      <c r="D36" s="10" t="s">
        <v>312</v>
      </c>
      <c r="E36" s="10">
        <v>349</v>
      </c>
      <c r="F36" s="10" t="s">
        <v>239</v>
      </c>
      <c r="G36" s="10">
        <v>190</v>
      </c>
      <c r="H36" s="11">
        <v>45443</v>
      </c>
      <c r="I36" s="11">
        <f t="shared" si="2"/>
        <v>46173</v>
      </c>
      <c r="J36" s="10">
        <v>24</v>
      </c>
      <c r="K36" s="21">
        <f t="shared" ca="1" si="3"/>
        <v>0</v>
      </c>
    </row>
    <row r="37" spans="1:11" x14ac:dyDescent="0.3">
      <c r="A37" s="20">
        <v>149</v>
      </c>
      <c r="B37" s="10" t="s">
        <v>163</v>
      </c>
      <c r="C37" s="10" t="s">
        <v>171</v>
      </c>
      <c r="D37" s="10" t="s">
        <v>316</v>
      </c>
      <c r="E37" s="10">
        <v>393</v>
      </c>
      <c r="F37" s="10" t="s">
        <v>172</v>
      </c>
      <c r="G37" s="10">
        <v>190</v>
      </c>
      <c r="H37" s="11">
        <v>45443</v>
      </c>
      <c r="I37" s="11">
        <f t="shared" si="2"/>
        <v>46173</v>
      </c>
      <c r="J37" s="10">
        <v>24</v>
      </c>
      <c r="K37" s="21">
        <f t="shared" ca="1" si="3"/>
        <v>0</v>
      </c>
    </row>
    <row r="38" spans="1:11" x14ac:dyDescent="0.3">
      <c r="A38" s="20">
        <v>149</v>
      </c>
      <c r="B38" s="10" t="s">
        <v>163</v>
      </c>
      <c r="C38" s="10" t="s">
        <v>171</v>
      </c>
      <c r="D38" s="10" t="s">
        <v>316</v>
      </c>
      <c r="E38" s="10">
        <v>393</v>
      </c>
      <c r="F38" s="10" t="s">
        <v>172</v>
      </c>
      <c r="G38" s="10">
        <v>190</v>
      </c>
      <c r="H38" s="11">
        <v>45443</v>
      </c>
      <c r="I38" s="11">
        <f t="shared" si="2"/>
        <v>46173</v>
      </c>
      <c r="J38" s="10">
        <v>24</v>
      </c>
      <c r="K38" s="21">
        <f t="shared" ca="1" si="3"/>
        <v>0</v>
      </c>
    </row>
    <row r="39" spans="1:11" x14ac:dyDescent="0.3">
      <c r="A39" s="20">
        <v>15</v>
      </c>
      <c r="B39" s="10" t="s">
        <v>250</v>
      </c>
      <c r="C39" s="10" t="s">
        <v>206</v>
      </c>
      <c r="D39" s="10" t="s">
        <v>319</v>
      </c>
      <c r="E39" s="10">
        <v>530</v>
      </c>
      <c r="F39" s="10" t="s">
        <v>207</v>
      </c>
      <c r="G39" s="10">
        <v>190</v>
      </c>
      <c r="H39" s="11">
        <v>45443</v>
      </c>
      <c r="I39" s="11">
        <f t="shared" si="2"/>
        <v>46173</v>
      </c>
      <c r="J39" s="10">
        <v>24</v>
      </c>
      <c r="K39" s="21">
        <f t="shared" ca="1" si="3"/>
        <v>0</v>
      </c>
    </row>
    <row r="40" spans="1:11" x14ac:dyDescent="0.3">
      <c r="A40" s="20">
        <v>15</v>
      </c>
      <c r="B40" s="10" t="s">
        <v>250</v>
      </c>
      <c r="C40" s="10" t="s">
        <v>206</v>
      </c>
      <c r="D40" s="10" t="s">
        <v>319</v>
      </c>
      <c r="E40" s="10">
        <v>530</v>
      </c>
      <c r="F40" s="10" t="s">
        <v>207</v>
      </c>
      <c r="G40" s="10">
        <v>190</v>
      </c>
      <c r="H40" s="11">
        <v>45443</v>
      </c>
      <c r="I40" s="11">
        <f t="shared" si="2"/>
        <v>46173</v>
      </c>
      <c r="J40" s="10">
        <v>24</v>
      </c>
      <c r="K40" s="21">
        <f t="shared" ca="1" si="3"/>
        <v>0</v>
      </c>
    </row>
    <row r="41" spans="1:11" x14ac:dyDescent="0.3">
      <c r="A41" s="20">
        <v>84</v>
      </c>
      <c r="B41" s="10" t="s">
        <v>217</v>
      </c>
      <c r="C41" s="10" t="s">
        <v>218</v>
      </c>
      <c r="D41" s="10" t="s">
        <v>323</v>
      </c>
      <c r="E41" s="10">
        <v>866</v>
      </c>
      <c r="F41" s="10" t="s">
        <v>219</v>
      </c>
      <c r="G41" s="10">
        <v>190</v>
      </c>
      <c r="H41" s="11">
        <v>45443</v>
      </c>
      <c r="I41" s="11">
        <f t="shared" si="2"/>
        <v>46173</v>
      </c>
      <c r="J41" s="10">
        <v>24</v>
      </c>
      <c r="K41" s="21">
        <f t="shared" ca="1" si="3"/>
        <v>0</v>
      </c>
    </row>
    <row r="42" spans="1:11" x14ac:dyDescent="0.3">
      <c r="A42" s="20">
        <v>84</v>
      </c>
      <c r="B42" s="10" t="s">
        <v>217</v>
      </c>
      <c r="C42" s="10" t="s">
        <v>218</v>
      </c>
      <c r="D42" s="10" t="s">
        <v>323</v>
      </c>
      <c r="E42" s="10">
        <v>866</v>
      </c>
      <c r="F42" s="10" t="s">
        <v>219</v>
      </c>
      <c r="G42" s="10">
        <v>190</v>
      </c>
      <c r="H42" s="11">
        <v>45443</v>
      </c>
      <c r="I42" s="11">
        <f t="shared" si="2"/>
        <v>46173</v>
      </c>
      <c r="J42" s="10">
        <v>24</v>
      </c>
      <c r="K42" s="21">
        <f t="shared" ca="1" si="3"/>
        <v>0</v>
      </c>
    </row>
    <row r="43" spans="1:11" x14ac:dyDescent="0.3">
      <c r="A43" s="20">
        <v>120</v>
      </c>
      <c r="B43" s="10" t="s">
        <v>263</v>
      </c>
      <c r="C43" s="10" t="s">
        <v>228</v>
      </c>
      <c r="D43" s="10" t="s">
        <v>311</v>
      </c>
      <c r="E43" s="10">
        <v>744</v>
      </c>
      <c r="F43" s="10" t="s">
        <v>230</v>
      </c>
      <c r="G43" s="10">
        <v>110</v>
      </c>
      <c r="H43" s="11">
        <v>45473</v>
      </c>
      <c r="I43" s="11">
        <f t="shared" si="2"/>
        <v>46203</v>
      </c>
      <c r="J43" s="10">
        <v>24</v>
      </c>
      <c r="K43" s="21">
        <f t="shared" ca="1" si="3"/>
        <v>1</v>
      </c>
    </row>
    <row r="44" spans="1:11" x14ac:dyDescent="0.3">
      <c r="A44" s="20">
        <v>125</v>
      </c>
      <c r="B44" s="10" t="s">
        <v>263</v>
      </c>
      <c r="C44" s="10" t="s">
        <v>228</v>
      </c>
      <c r="D44" s="10" t="s">
        <v>311</v>
      </c>
      <c r="E44" s="10">
        <v>747</v>
      </c>
      <c r="F44" s="10" t="s">
        <v>232</v>
      </c>
      <c r="G44" s="10">
        <v>110</v>
      </c>
      <c r="H44" s="11">
        <v>45473</v>
      </c>
      <c r="I44" s="11">
        <f t="shared" si="2"/>
        <v>46203</v>
      </c>
      <c r="J44" s="10">
        <v>24</v>
      </c>
      <c r="K44" s="21">
        <f t="shared" ca="1" si="3"/>
        <v>1</v>
      </c>
    </row>
    <row r="45" spans="1:11" x14ac:dyDescent="0.3">
      <c r="A45" s="20">
        <v>123</v>
      </c>
      <c r="B45" s="10" t="s">
        <v>263</v>
      </c>
      <c r="C45" s="10" t="s">
        <v>228</v>
      </c>
      <c r="D45" s="10" t="s">
        <v>311</v>
      </c>
      <c r="E45" s="10">
        <v>780</v>
      </c>
      <c r="F45" s="10" t="s">
        <v>234</v>
      </c>
      <c r="G45" s="10">
        <v>110</v>
      </c>
      <c r="H45" s="11">
        <v>45473</v>
      </c>
      <c r="I45" s="11">
        <f t="shared" si="2"/>
        <v>46203</v>
      </c>
      <c r="J45" s="10">
        <v>24</v>
      </c>
      <c r="K45" s="21">
        <f t="shared" ca="1" si="3"/>
        <v>1</v>
      </c>
    </row>
    <row r="46" spans="1:11" x14ac:dyDescent="0.3">
      <c r="A46" s="20">
        <v>43</v>
      </c>
      <c r="B46" s="10" t="s">
        <v>216</v>
      </c>
      <c r="C46" s="10" t="s">
        <v>212</v>
      </c>
      <c r="D46" s="10" t="s">
        <v>319</v>
      </c>
      <c r="E46" s="10">
        <v>468</v>
      </c>
      <c r="F46" s="10" t="s">
        <v>215</v>
      </c>
      <c r="G46" s="10">
        <v>110</v>
      </c>
      <c r="H46" s="11">
        <v>45504</v>
      </c>
      <c r="I46" s="11">
        <f t="shared" si="2"/>
        <v>46234</v>
      </c>
      <c r="J46" s="10">
        <v>24</v>
      </c>
      <c r="K46" s="21">
        <f t="shared" ca="1" si="3"/>
        <v>2</v>
      </c>
    </row>
    <row r="47" spans="1:11" x14ac:dyDescent="0.3">
      <c r="A47" s="20">
        <v>43</v>
      </c>
      <c r="B47" s="10" t="s">
        <v>216</v>
      </c>
      <c r="C47" s="10" t="s">
        <v>212</v>
      </c>
      <c r="D47" s="10" t="s">
        <v>319</v>
      </c>
      <c r="E47" s="10">
        <v>468</v>
      </c>
      <c r="F47" s="10" t="s">
        <v>215</v>
      </c>
      <c r="G47" s="10">
        <v>110</v>
      </c>
      <c r="H47" s="11">
        <v>45504</v>
      </c>
      <c r="I47" s="11">
        <f t="shared" si="2"/>
        <v>46234</v>
      </c>
      <c r="J47" s="10">
        <v>24</v>
      </c>
      <c r="K47" s="21">
        <f t="shared" ca="1" si="3"/>
        <v>2</v>
      </c>
    </row>
    <row r="48" spans="1:11" x14ac:dyDescent="0.3">
      <c r="A48" s="20">
        <v>155</v>
      </c>
      <c r="B48" s="10" t="s">
        <v>162</v>
      </c>
      <c r="C48" s="10" t="s">
        <v>160</v>
      </c>
      <c r="D48" s="10" t="s">
        <v>311</v>
      </c>
      <c r="E48" s="10">
        <v>769</v>
      </c>
      <c r="F48" s="10" t="s">
        <v>161</v>
      </c>
      <c r="G48" s="10">
        <v>140</v>
      </c>
      <c r="H48" s="11">
        <v>45504</v>
      </c>
      <c r="I48" s="11">
        <f t="shared" si="2"/>
        <v>46234</v>
      </c>
      <c r="J48" s="10">
        <v>24</v>
      </c>
      <c r="K48" s="21">
        <f t="shared" ca="1" si="3"/>
        <v>2</v>
      </c>
    </row>
    <row r="49" spans="1:11" x14ac:dyDescent="0.3">
      <c r="A49" s="20">
        <v>155</v>
      </c>
      <c r="B49" s="10" t="s">
        <v>162</v>
      </c>
      <c r="C49" s="10" t="s">
        <v>160</v>
      </c>
      <c r="D49" s="10" t="s">
        <v>311</v>
      </c>
      <c r="E49" s="10">
        <v>769</v>
      </c>
      <c r="F49" s="10" t="s">
        <v>161</v>
      </c>
      <c r="G49" s="10">
        <v>140</v>
      </c>
      <c r="H49" s="11">
        <v>45504</v>
      </c>
      <c r="I49" s="11">
        <f t="shared" si="2"/>
        <v>46234</v>
      </c>
      <c r="J49" s="10">
        <v>24</v>
      </c>
      <c r="K49" s="21">
        <f t="shared" ca="1" si="3"/>
        <v>2</v>
      </c>
    </row>
    <row r="50" spans="1:11" x14ac:dyDescent="0.3">
      <c r="A50" s="20">
        <v>33</v>
      </c>
      <c r="B50" s="10" t="s">
        <v>183</v>
      </c>
      <c r="C50" s="10" t="s">
        <v>192</v>
      </c>
      <c r="D50" s="10" t="s">
        <v>309</v>
      </c>
      <c r="E50" s="10">
        <v>468</v>
      </c>
      <c r="F50" s="10" t="s">
        <v>197</v>
      </c>
      <c r="G50" s="10">
        <v>78</v>
      </c>
      <c r="H50" s="11">
        <v>45505</v>
      </c>
      <c r="I50" s="11">
        <f t="shared" si="2"/>
        <v>46235</v>
      </c>
      <c r="J50" s="10">
        <v>24</v>
      </c>
      <c r="K50" s="21">
        <f t="shared" ca="1" si="3"/>
        <v>2</v>
      </c>
    </row>
    <row r="51" spans="1:11" x14ac:dyDescent="0.3">
      <c r="A51" s="20">
        <v>122</v>
      </c>
      <c r="B51" s="10" t="s">
        <v>263</v>
      </c>
      <c r="C51" s="10" t="s">
        <v>228</v>
      </c>
      <c r="D51" s="10" t="s">
        <v>311</v>
      </c>
      <c r="E51" s="10">
        <v>741</v>
      </c>
      <c r="F51" s="10" t="s">
        <v>229</v>
      </c>
      <c r="G51" s="10">
        <v>110</v>
      </c>
      <c r="H51" s="11">
        <v>45535</v>
      </c>
      <c r="I51" s="11">
        <f t="shared" si="2"/>
        <v>46265</v>
      </c>
      <c r="J51" s="10">
        <v>24</v>
      </c>
      <c r="K51" s="21">
        <f t="shared" ca="1" si="3"/>
        <v>3</v>
      </c>
    </row>
    <row r="52" spans="1:11" x14ac:dyDescent="0.3">
      <c r="A52" s="20">
        <v>55</v>
      </c>
      <c r="B52" s="10" t="s">
        <v>217</v>
      </c>
      <c r="C52" s="10" t="s">
        <v>220</v>
      </c>
      <c r="D52" s="10" t="s">
        <v>315</v>
      </c>
      <c r="E52" s="10">
        <v>545</v>
      </c>
      <c r="F52" s="10" t="s">
        <v>221</v>
      </c>
      <c r="G52" s="10">
        <v>100</v>
      </c>
      <c r="H52" s="11">
        <v>45565</v>
      </c>
      <c r="I52" s="11">
        <f t="shared" si="2"/>
        <v>46295</v>
      </c>
      <c r="J52" s="10">
        <v>24</v>
      </c>
      <c r="K52" s="21">
        <f t="shared" ca="1" si="3"/>
        <v>4</v>
      </c>
    </row>
    <row r="53" spans="1:11" x14ac:dyDescent="0.3">
      <c r="A53" s="20">
        <v>8</v>
      </c>
      <c r="B53" s="10" t="s">
        <v>250</v>
      </c>
      <c r="C53" s="10" t="s">
        <v>208</v>
      </c>
      <c r="D53" s="10" t="s">
        <v>320</v>
      </c>
      <c r="E53" s="10">
        <v>340</v>
      </c>
      <c r="F53" s="10" t="s">
        <v>209</v>
      </c>
      <c r="G53" s="10">
        <v>93</v>
      </c>
      <c r="H53" s="11">
        <v>45716</v>
      </c>
      <c r="I53" s="11">
        <f t="shared" si="2"/>
        <v>46446</v>
      </c>
      <c r="J53" s="10">
        <v>24</v>
      </c>
      <c r="K53" s="21">
        <f t="shared" ca="1" si="3"/>
        <v>9</v>
      </c>
    </row>
    <row r="54" spans="1:11" x14ac:dyDescent="0.3">
      <c r="A54" s="20">
        <v>1</v>
      </c>
      <c r="B54" s="10" t="s">
        <v>183</v>
      </c>
      <c r="C54" s="10" t="s">
        <v>184</v>
      </c>
      <c r="D54" s="10" t="s">
        <v>309</v>
      </c>
      <c r="E54" s="10">
        <v>471</v>
      </c>
      <c r="F54" s="10" t="s">
        <v>186</v>
      </c>
      <c r="G54" s="10">
        <v>120</v>
      </c>
      <c r="H54" s="11">
        <v>45748</v>
      </c>
      <c r="I54" s="11">
        <f t="shared" si="2"/>
        <v>46478</v>
      </c>
      <c r="J54" s="10">
        <v>24</v>
      </c>
      <c r="K54" s="21">
        <f t="shared" ca="1" si="3"/>
        <v>10</v>
      </c>
    </row>
    <row r="55" spans="1:11" x14ac:dyDescent="0.3">
      <c r="A55" s="20">
        <v>16</v>
      </c>
      <c r="B55" s="10" t="s">
        <v>211</v>
      </c>
      <c r="C55" s="10" t="s">
        <v>206</v>
      </c>
      <c r="D55" s="10" t="s">
        <v>319</v>
      </c>
      <c r="E55" s="10">
        <v>317</v>
      </c>
      <c r="F55" s="10" t="s">
        <v>210</v>
      </c>
      <c r="G55" s="10">
        <v>190</v>
      </c>
      <c r="H55" s="11">
        <v>45809</v>
      </c>
      <c r="I55" s="11">
        <f t="shared" si="2"/>
        <v>46174</v>
      </c>
      <c r="J55" s="10">
        <v>12</v>
      </c>
      <c r="K55" s="21">
        <f t="shared" ca="1" si="3"/>
        <v>0</v>
      </c>
    </row>
    <row r="56" spans="1:11" x14ac:dyDescent="0.3">
      <c r="A56" s="20">
        <v>16</v>
      </c>
      <c r="B56" s="10" t="s">
        <v>211</v>
      </c>
      <c r="C56" s="10" t="s">
        <v>206</v>
      </c>
      <c r="D56" s="10" t="s">
        <v>319</v>
      </c>
      <c r="E56" s="10">
        <v>317</v>
      </c>
      <c r="F56" s="10" t="s">
        <v>210</v>
      </c>
      <c r="G56" s="10">
        <v>190</v>
      </c>
      <c r="H56" s="11">
        <v>45809</v>
      </c>
      <c r="I56" s="11">
        <f t="shared" si="2"/>
        <v>46174</v>
      </c>
      <c r="J56" s="10">
        <v>12</v>
      </c>
      <c r="K56" s="21">
        <f t="shared" ca="1" si="3"/>
        <v>0</v>
      </c>
    </row>
    <row r="57" spans="1:11" x14ac:dyDescent="0.3">
      <c r="A57" s="20">
        <v>6</v>
      </c>
      <c r="B57" s="10" t="s">
        <v>253</v>
      </c>
      <c r="C57" s="10" t="s">
        <v>226</v>
      </c>
      <c r="D57" s="10" t="s">
        <v>315</v>
      </c>
      <c r="E57" s="10">
        <v>325</v>
      </c>
      <c r="F57" s="10" t="s">
        <v>227</v>
      </c>
      <c r="G57" s="10">
        <v>100</v>
      </c>
      <c r="H57" s="11">
        <v>45869</v>
      </c>
      <c r="I57" s="11">
        <f t="shared" si="2"/>
        <v>46599</v>
      </c>
      <c r="J57" s="10">
        <v>24</v>
      </c>
      <c r="K57" s="21">
        <f t="shared" ca="1" si="3"/>
        <v>14</v>
      </c>
    </row>
    <row r="58" spans="1:11" x14ac:dyDescent="0.3">
      <c r="A58" s="20">
        <v>4</v>
      </c>
      <c r="B58" s="10" t="s">
        <v>183</v>
      </c>
      <c r="C58" s="10" t="s">
        <v>184</v>
      </c>
      <c r="D58" s="10" t="s">
        <v>309</v>
      </c>
      <c r="E58" s="10">
        <v>473</v>
      </c>
      <c r="F58" s="10" t="s">
        <v>188</v>
      </c>
      <c r="G58" s="10">
        <v>120</v>
      </c>
      <c r="H58" s="11">
        <v>45869</v>
      </c>
      <c r="I58" s="11">
        <f t="shared" si="2"/>
        <v>46599</v>
      </c>
      <c r="J58" s="10">
        <v>24</v>
      </c>
      <c r="K58" s="21">
        <f t="shared" ca="1" si="3"/>
        <v>14</v>
      </c>
    </row>
    <row r="59" spans="1:11" x14ac:dyDescent="0.3">
      <c r="A59" s="20">
        <v>55</v>
      </c>
      <c r="B59" s="10" t="s">
        <v>217</v>
      </c>
      <c r="C59" s="10" t="s">
        <v>220</v>
      </c>
      <c r="D59" s="10" t="s">
        <v>315</v>
      </c>
      <c r="E59" s="10">
        <v>545</v>
      </c>
      <c r="F59" s="10" t="s">
        <v>221</v>
      </c>
      <c r="G59" s="10">
        <v>100</v>
      </c>
      <c r="H59" s="11">
        <v>45869</v>
      </c>
      <c r="I59" s="11">
        <f t="shared" si="2"/>
        <v>46599</v>
      </c>
      <c r="J59" s="10">
        <v>24</v>
      </c>
      <c r="K59" s="21">
        <f t="shared" ca="1" si="3"/>
        <v>14</v>
      </c>
    </row>
    <row r="60" spans="1:11" x14ac:dyDescent="0.3">
      <c r="A60" s="20">
        <v>10</v>
      </c>
      <c r="B60" s="10" t="s">
        <v>183</v>
      </c>
      <c r="C60" s="10" t="s">
        <v>184</v>
      </c>
      <c r="D60" s="10" t="s">
        <v>309</v>
      </c>
      <c r="E60" s="10">
        <v>586</v>
      </c>
      <c r="F60" s="10" t="s">
        <v>190</v>
      </c>
      <c r="G60" s="10">
        <v>120</v>
      </c>
      <c r="H60" s="11">
        <v>45869</v>
      </c>
      <c r="I60" s="11">
        <f t="shared" si="2"/>
        <v>46599</v>
      </c>
      <c r="J60" s="10">
        <v>24</v>
      </c>
      <c r="K60" s="21">
        <f t="shared" ca="1" si="3"/>
        <v>14</v>
      </c>
    </row>
    <row r="61" spans="1:11" x14ac:dyDescent="0.3">
      <c r="A61" s="20">
        <v>11</v>
      </c>
      <c r="B61" s="10" t="s">
        <v>183</v>
      </c>
      <c r="C61" s="10" t="s">
        <v>184</v>
      </c>
      <c r="D61" s="10" t="s">
        <v>309</v>
      </c>
      <c r="E61" s="10">
        <v>587</v>
      </c>
      <c r="F61" s="10" t="s">
        <v>191</v>
      </c>
      <c r="G61" s="10">
        <v>120</v>
      </c>
      <c r="H61" s="11">
        <v>45869</v>
      </c>
      <c r="I61" s="11">
        <f t="shared" si="2"/>
        <v>46599</v>
      </c>
      <c r="J61" s="10">
        <v>24</v>
      </c>
      <c r="K61" s="21">
        <f t="shared" ca="1" si="3"/>
        <v>14</v>
      </c>
    </row>
    <row r="62" spans="1:11" x14ac:dyDescent="0.3">
      <c r="A62" s="20">
        <v>67</v>
      </c>
      <c r="B62" s="10" t="s">
        <v>250</v>
      </c>
      <c r="C62" s="10" t="s">
        <v>292</v>
      </c>
      <c r="D62" s="10" t="s">
        <v>329</v>
      </c>
      <c r="E62" s="10">
        <v>329</v>
      </c>
      <c r="F62" s="10" t="s">
        <v>293</v>
      </c>
      <c r="G62" s="10">
        <v>100</v>
      </c>
      <c r="H62" s="11">
        <v>45901</v>
      </c>
      <c r="I62" s="11">
        <f t="shared" si="2"/>
        <v>46631</v>
      </c>
      <c r="J62" s="10">
        <v>24</v>
      </c>
      <c r="K62" s="21">
        <f t="shared" ca="1" si="3"/>
        <v>15</v>
      </c>
    </row>
    <row r="63" spans="1:11" x14ac:dyDescent="0.3">
      <c r="A63" s="20">
        <v>67</v>
      </c>
      <c r="B63" s="10" t="s">
        <v>250</v>
      </c>
      <c r="C63" s="10" t="s">
        <v>292</v>
      </c>
      <c r="D63" s="10" t="s">
        <v>329</v>
      </c>
      <c r="E63" s="10">
        <v>329</v>
      </c>
      <c r="F63" s="10" t="s">
        <v>293</v>
      </c>
      <c r="G63" s="10">
        <v>100</v>
      </c>
      <c r="H63" s="11">
        <v>45901</v>
      </c>
      <c r="I63" s="11">
        <f t="shared" si="2"/>
        <v>46631</v>
      </c>
      <c r="J63" s="10">
        <v>24</v>
      </c>
      <c r="K63" s="21">
        <f t="shared" ca="1" si="3"/>
        <v>15</v>
      </c>
    </row>
    <row r="64" spans="1:11" x14ac:dyDescent="0.3">
      <c r="A64" s="20">
        <v>13</v>
      </c>
      <c r="B64" s="10" t="s">
        <v>250</v>
      </c>
      <c r="C64" s="10" t="s">
        <v>204</v>
      </c>
      <c r="D64" s="10" t="s">
        <v>319</v>
      </c>
      <c r="E64" s="10">
        <v>441</v>
      </c>
      <c r="F64" s="10" t="s">
        <v>205</v>
      </c>
      <c r="G64" s="10">
        <v>190</v>
      </c>
      <c r="H64" s="11">
        <v>45901</v>
      </c>
      <c r="I64" s="11">
        <f t="shared" si="2"/>
        <v>46631</v>
      </c>
      <c r="J64" s="10">
        <v>24</v>
      </c>
      <c r="K64" s="21">
        <f t="shared" ca="1" si="3"/>
        <v>15</v>
      </c>
    </row>
    <row r="65" spans="1:11" x14ac:dyDescent="0.3">
      <c r="A65" s="20">
        <v>13</v>
      </c>
      <c r="B65" s="10" t="s">
        <v>250</v>
      </c>
      <c r="C65" s="10" t="s">
        <v>204</v>
      </c>
      <c r="D65" s="10" t="s">
        <v>319</v>
      </c>
      <c r="E65" s="10">
        <v>441</v>
      </c>
      <c r="F65" s="10" t="s">
        <v>205</v>
      </c>
      <c r="G65" s="10">
        <v>190</v>
      </c>
      <c r="H65" s="11">
        <v>45901</v>
      </c>
      <c r="I65" s="11">
        <f t="shared" si="2"/>
        <v>46631</v>
      </c>
      <c r="J65" s="10">
        <v>24</v>
      </c>
      <c r="K65" s="21">
        <f t="shared" ca="1" si="3"/>
        <v>15</v>
      </c>
    </row>
    <row r="66" spans="1:11" x14ac:dyDescent="0.3">
      <c r="A66" s="20">
        <v>150</v>
      </c>
      <c r="B66" s="10" t="s">
        <v>163</v>
      </c>
      <c r="C66" s="10" t="s">
        <v>168</v>
      </c>
      <c r="D66" s="10" t="s">
        <v>313</v>
      </c>
      <c r="E66" s="10">
        <v>294</v>
      </c>
      <c r="F66" s="10" t="s">
        <v>169</v>
      </c>
      <c r="G66" s="10">
        <v>90</v>
      </c>
      <c r="H66" s="11">
        <v>45931</v>
      </c>
      <c r="I66" s="11">
        <f t="shared" ref="I66:I75" si="4">EDATE(H66,J66)</f>
        <v>46661</v>
      </c>
      <c r="J66" s="10">
        <v>24</v>
      </c>
      <c r="K66" s="21">
        <f t="shared" ref="K66:K75" ca="1" si="5">IF(I66 &lt; TODAY(), -DATEDIF(I66, TODAY(), "M"), DATEDIF(TODAY(), I66, "M"))</f>
        <v>16</v>
      </c>
    </row>
    <row r="67" spans="1:11" x14ac:dyDescent="0.3">
      <c r="A67" s="20">
        <v>9</v>
      </c>
      <c r="B67" s="10" t="s">
        <v>183</v>
      </c>
      <c r="C67" s="10" t="s">
        <v>184</v>
      </c>
      <c r="D67" s="10" t="s">
        <v>309</v>
      </c>
      <c r="E67" s="10">
        <v>470</v>
      </c>
      <c r="F67" s="10" t="s">
        <v>185</v>
      </c>
      <c r="G67" s="10">
        <v>120</v>
      </c>
      <c r="H67" s="11">
        <v>45931</v>
      </c>
      <c r="I67" s="11">
        <f t="shared" si="4"/>
        <v>46661</v>
      </c>
      <c r="J67" s="10">
        <v>24</v>
      </c>
      <c r="K67" s="21">
        <f t="shared" ca="1" si="5"/>
        <v>16</v>
      </c>
    </row>
    <row r="68" spans="1:11" x14ac:dyDescent="0.3">
      <c r="A68" s="20">
        <v>2</v>
      </c>
      <c r="B68" s="10" t="s">
        <v>183</v>
      </c>
      <c r="C68" s="10" t="s">
        <v>184</v>
      </c>
      <c r="D68" s="10" t="s">
        <v>309</v>
      </c>
      <c r="E68" s="10">
        <v>472</v>
      </c>
      <c r="F68" s="10" t="s">
        <v>187</v>
      </c>
      <c r="G68" s="10">
        <v>120</v>
      </c>
      <c r="H68" s="11">
        <v>45931</v>
      </c>
      <c r="I68" s="11">
        <f t="shared" si="4"/>
        <v>46661</v>
      </c>
      <c r="J68" s="10">
        <v>24</v>
      </c>
      <c r="K68" s="21">
        <f t="shared" ca="1" si="5"/>
        <v>16</v>
      </c>
    </row>
    <row r="69" spans="1:11" x14ac:dyDescent="0.3">
      <c r="A69" s="20">
        <v>142</v>
      </c>
      <c r="B69" s="10" t="s">
        <v>263</v>
      </c>
      <c r="C69" s="10" t="s">
        <v>270</v>
      </c>
      <c r="D69" s="10" t="s">
        <v>313</v>
      </c>
      <c r="E69" s="10">
        <v>648</v>
      </c>
      <c r="F69" s="10" t="s">
        <v>271</v>
      </c>
      <c r="G69" s="10">
        <v>90</v>
      </c>
      <c r="H69" s="11">
        <v>45931</v>
      </c>
      <c r="I69" s="11">
        <f t="shared" si="4"/>
        <v>46661</v>
      </c>
      <c r="J69" s="10">
        <v>24</v>
      </c>
      <c r="K69" s="21">
        <f t="shared" ca="1" si="5"/>
        <v>16</v>
      </c>
    </row>
    <row r="70" spans="1:11" x14ac:dyDescent="0.3">
      <c r="A70" s="20">
        <v>152</v>
      </c>
      <c r="B70" s="10" t="s">
        <v>163</v>
      </c>
      <c r="C70" s="10" t="s">
        <v>168</v>
      </c>
      <c r="D70" s="10" t="s">
        <v>313</v>
      </c>
      <c r="E70" s="10">
        <v>284</v>
      </c>
      <c r="F70" s="10" t="s">
        <v>170</v>
      </c>
      <c r="G70" s="10">
        <v>90</v>
      </c>
      <c r="H70" s="11">
        <v>45961</v>
      </c>
      <c r="I70" s="11">
        <f t="shared" si="4"/>
        <v>46691</v>
      </c>
      <c r="J70" s="10">
        <v>24</v>
      </c>
      <c r="K70" s="21">
        <f t="shared" ca="1" si="5"/>
        <v>17</v>
      </c>
    </row>
    <row r="71" spans="1:11" x14ac:dyDescent="0.3">
      <c r="A71" s="20">
        <v>157</v>
      </c>
      <c r="B71" s="10" t="s">
        <v>176</v>
      </c>
      <c r="C71" s="10" t="s">
        <v>177</v>
      </c>
      <c r="D71" s="10" t="s">
        <v>318</v>
      </c>
      <c r="E71" s="10">
        <v>906</v>
      </c>
      <c r="F71" s="10" t="s">
        <v>178</v>
      </c>
      <c r="G71" s="10">
        <v>190</v>
      </c>
      <c r="H71" s="11">
        <v>45962</v>
      </c>
      <c r="I71" s="11">
        <f t="shared" si="4"/>
        <v>46692</v>
      </c>
      <c r="J71" s="10">
        <v>24</v>
      </c>
      <c r="K71" s="21">
        <f t="shared" ca="1" si="5"/>
        <v>17</v>
      </c>
    </row>
    <row r="72" spans="1:11" x14ac:dyDescent="0.3">
      <c r="A72" s="20">
        <v>145</v>
      </c>
      <c r="B72" s="10" t="s">
        <v>163</v>
      </c>
      <c r="C72" s="10" t="s">
        <v>168</v>
      </c>
      <c r="D72" s="10" t="s">
        <v>314</v>
      </c>
      <c r="E72" s="10">
        <v>566</v>
      </c>
      <c r="F72" s="10" t="s">
        <v>173</v>
      </c>
      <c r="G72" s="10">
        <v>90</v>
      </c>
      <c r="H72" s="11">
        <v>45991</v>
      </c>
      <c r="I72" s="11">
        <f t="shared" si="4"/>
        <v>46721</v>
      </c>
      <c r="J72" s="10">
        <v>24</v>
      </c>
      <c r="K72" s="21">
        <f t="shared" ca="1" si="5"/>
        <v>18</v>
      </c>
    </row>
    <row r="73" spans="1:11" x14ac:dyDescent="0.3">
      <c r="A73" s="20">
        <v>153</v>
      </c>
      <c r="B73" s="10" t="s">
        <v>163</v>
      </c>
      <c r="C73" s="10" t="s">
        <v>164</v>
      </c>
      <c r="D73" s="10" t="s">
        <v>313</v>
      </c>
      <c r="E73" s="10">
        <v>269</v>
      </c>
      <c r="F73" s="10" t="s">
        <v>167</v>
      </c>
      <c r="G73" s="10">
        <v>75</v>
      </c>
      <c r="H73" s="11">
        <v>46022</v>
      </c>
      <c r="I73" s="11">
        <f t="shared" si="4"/>
        <v>46752</v>
      </c>
      <c r="J73" s="10">
        <v>24</v>
      </c>
      <c r="K73" s="21">
        <f t="shared" ca="1" si="5"/>
        <v>19</v>
      </c>
    </row>
    <row r="74" spans="1:11" x14ac:dyDescent="0.3">
      <c r="A74" s="20">
        <v>21</v>
      </c>
      <c r="B74" s="10" t="s">
        <v>183</v>
      </c>
      <c r="C74" s="10" t="s">
        <v>192</v>
      </c>
      <c r="D74" s="10" t="s">
        <v>309</v>
      </c>
      <c r="E74" s="10">
        <v>464</v>
      </c>
      <c r="F74" s="10" t="s">
        <v>193</v>
      </c>
      <c r="G74" s="10">
        <v>75</v>
      </c>
      <c r="H74" s="11">
        <v>46022</v>
      </c>
      <c r="I74" s="11">
        <f t="shared" si="4"/>
        <v>46752</v>
      </c>
      <c r="J74" s="10">
        <v>24</v>
      </c>
      <c r="K74" s="21">
        <f t="shared" ca="1" si="5"/>
        <v>19</v>
      </c>
    </row>
    <row r="75" spans="1:11" ht="15" thickBot="1" x14ac:dyDescent="0.35">
      <c r="A75" s="13">
        <v>34</v>
      </c>
      <c r="B75" s="14" t="s">
        <v>183</v>
      </c>
      <c r="C75" s="14" t="s">
        <v>192</v>
      </c>
      <c r="D75" s="14" t="s">
        <v>309</v>
      </c>
      <c r="E75" s="14">
        <v>469</v>
      </c>
      <c r="F75" s="14" t="s">
        <v>198</v>
      </c>
      <c r="G75" s="14">
        <v>75</v>
      </c>
      <c r="H75" s="15">
        <v>46053</v>
      </c>
      <c r="I75" s="15">
        <f t="shared" si="4"/>
        <v>46783</v>
      </c>
      <c r="J75" s="14">
        <v>24</v>
      </c>
      <c r="K75" s="21">
        <f t="shared" ca="1" si="5"/>
        <v>20</v>
      </c>
    </row>
  </sheetData>
  <autoFilter ref="A1:K75" xr:uid="{68FA70BA-E795-4B88-A9BD-364D09B20114}">
    <sortState xmlns:xlrd2="http://schemas.microsoft.com/office/spreadsheetml/2017/richdata2" ref="A2:K75">
      <sortCondition ref="H1:H75"/>
    </sortState>
  </autoFilter>
  <sortState xmlns:xlrd2="http://schemas.microsoft.com/office/spreadsheetml/2017/richdata2" ref="A2:K75">
    <sortCondition ref="G1:G75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8939F5D-8372-43F6-A9B1-B071949742BB}">
            <xm:f>I2-Parametri!$E$1&lt;=0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6CF37A02-E4F5-4084-8764-428228CD48A8}">
            <xm:f>I2-Parametri!$E$1&lt;=30</xm:f>
            <x14:dxf>
              <fill>
                <patternFill>
                  <bgColor rgb="FFFFC000"/>
                </patternFill>
              </fill>
            </x14:dxf>
          </x14:cfRule>
          <x14:cfRule type="expression" priority="3" id="{7DEC7CCB-4DFD-4E61-A2C9-F8E483456022}">
            <xm:f>I2-Parametri!$E$1&gt;30</xm:f>
            <x14:dxf>
              <fill>
                <patternFill>
                  <bgColor rgb="FF00B050"/>
                </patternFill>
              </fill>
            </x14:dxf>
          </x14:cfRule>
          <xm:sqref>H2:H75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833D-14CB-473D-8EFA-6BD6E3C7FBC5}">
  <dimension ref="A1:AB280"/>
  <sheetViews>
    <sheetView tabSelected="1" topLeftCell="O1" zoomScale="80" zoomScaleNormal="102" workbookViewId="0">
      <pane ySplit="1" topLeftCell="A2" activePane="bottomLeft" state="frozen"/>
      <selection pane="bottomLeft" activeCell="X15" sqref="X15"/>
    </sheetView>
  </sheetViews>
  <sheetFormatPr defaultRowHeight="14.4" x14ac:dyDescent="0.3"/>
  <cols>
    <col min="1" max="1" width="4" style="5" bestFit="1" customWidth="1"/>
    <col min="2" max="2" width="8.5546875" customWidth="1"/>
    <col min="3" max="3" width="11.21875" bestFit="1" customWidth="1"/>
    <col min="4" max="4" width="13.77734375" bestFit="1" customWidth="1"/>
    <col min="5" max="7" width="15.6640625" bestFit="1" customWidth="1"/>
    <col min="8" max="8" width="15" bestFit="1" customWidth="1"/>
    <col min="9" max="9" width="12.77734375" style="8" bestFit="1" customWidth="1"/>
    <col min="10" max="10" width="13" style="8" bestFit="1" customWidth="1"/>
    <col min="11" max="11" width="11.77734375" bestFit="1" customWidth="1"/>
    <col min="12" max="12" width="11" bestFit="1" customWidth="1"/>
    <col min="13" max="13" width="8.88671875" style="5" customWidth="1"/>
    <col min="14" max="14" width="4" style="5" bestFit="1" customWidth="1"/>
    <col min="15" max="15" width="8.5546875" style="5" bestFit="1" customWidth="1"/>
    <col min="16" max="16" width="11.5546875" style="5" bestFit="1" customWidth="1"/>
    <col min="17" max="17" width="14.5546875" style="5" bestFit="1" customWidth="1"/>
    <col min="18" max="20" width="15.6640625" style="5" bestFit="1" customWidth="1"/>
    <col min="21" max="21" width="15" style="5" bestFit="1" customWidth="1"/>
    <col min="22" max="22" width="12.77734375" style="5" bestFit="1" customWidth="1"/>
    <col min="23" max="23" width="13.77734375" style="5" bestFit="1" customWidth="1"/>
    <col min="24" max="24" width="14.44140625" style="5" bestFit="1" customWidth="1"/>
    <col min="25" max="25" width="26" style="5" bestFit="1" customWidth="1"/>
    <col min="26" max="26" width="9.33203125" style="5" bestFit="1" customWidth="1"/>
    <col min="27" max="27" width="12.88671875" style="5" bestFit="1" customWidth="1"/>
    <col min="28" max="28" width="22.33203125" style="5" bestFit="1" customWidth="1"/>
    <col min="29" max="16384" width="8.88671875" style="5"/>
  </cols>
  <sheetData>
    <row r="1" spans="1:28" s="12" customFormat="1" x14ac:dyDescent="0.3">
      <c r="A1" s="33">
        <v>1</v>
      </c>
      <c r="B1" s="16" t="s">
        <v>247</v>
      </c>
      <c r="C1" s="17" t="s">
        <v>155</v>
      </c>
      <c r="D1" s="17" t="s">
        <v>2</v>
      </c>
      <c r="E1" s="17" t="s">
        <v>1</v>
      </c>
      <c r="F1" s="17" t="s">
        <v>1</v>
      </c>
      <c r="G1" s="17" t="s">
        <v>1</v>
      </c>
      <c r="H1" s="17" t="s">
        <v>413</v>
      </c>
      <c r="I1" s="18" t="s">
        <v>409</v>
      </c>
      <c r="J1" s="18" t="s">
        <v>410</v>
      </c>
      <c r="K1" s="17" t="s">
        <v>411</v>
      </c>
      <c r="L1" s="19" t="s">
        <v>412</v>
      </c>
      <c r="N1">
        <v>1</v>
      </c>
      <c r="O1" s="16" t="s">
        <v>247</v>
      </c>
      <c r="P1" s="17" t="s">
        <v>155</v>
      </c>
      <c r="Q1" s="17" t="s">
        <v>2</v>
      </c>
      <c r="R1" s="17" t="s">
        <v>1</v>
      </c>
      <c r="S1" s="17" t="s">
        <v>1</v>
      </c>
      <c r="T1" s="17" t="s">
        <v>1</v>
      </c>
      <c r="U1" s="17" t="s">
        <v>413</v>
      </c>
      <c r="V1" s="18" t="s">
        <v>409</v>
      </c>
      <c r="W1" s="17" t="s">
        <v>432</v>
      </c>
      <c r="X1" s="17" t="s">
        <v>433</v>
      </c>
      <c r="Y1" s="17" t="s">
        <v>434</v>
      </c>
      <c r="Z1" s="17" t="s">
        <v>436</v>
      </c>
      <c r="AA1" s="17" t="s">
        <v>437</v>
      </c>
      <c r="AB1" s="19" t="s">
        <v>435</v>
      </c>
    </row>
    <row r="2" spans="1:28" x14ac:dyDescent="0.3">
      <c r="A2" s="5">
        <v>2</v>
      </c>
      <c r="B2" s="34">
        <v>1</v>
      </c>
      <c r="C2" s="22" t="s">
        <v>183</v>
      </c>
      <c r="D2" s="22" t="s">
        <v>184</v>
      </c>
      <c r="E2" s="22" t="s">
        <v>309</v>
      </c>
      <c r="F2" s="22">
        <v>471</v>
      </c>
      <c r="G2" s="22" t="s">
        <v>186</v>
      </c>
      <c r="H2" s="22" t="s">
        <v>251</v>
      </c>
      <c r="I2" s="23">
        <v>45901</v>
      </c>
      <c r="J2" s="23">
        <f>EDATE(I2,K2)</f>
        <v>46569</v>
      </c>
      <c r="K2" s="22">
        <v>22</v>
      </c>
      <c r="L2" s="35">
        <f ca="1">IF(J2 &lt; TODAY(), -DATEDIF(J2, TODAY(), "M"), DATEDIF(TODAY(), J2, "M"))</f>
        <v>13</v>
      </c>
      <c r="N2" s="5">
        <v>2</v>
      </c>
      <c r="O2" s="20">
        <v>103</v>
      </c>
      <c r="P2" s="10" t="s">
        <v>163</v>
      </c>
      <c r="Q2" s="10" t="s">
        <v>235</v>
      </c>
      <c r="R2" s="10" t="s">
        <v>313</v>
      </c>
      <c r="S2" s="10">
        <v>276</v>
      </c>
      <c r="T2" s="10" t="s">
        <v>236</v>
      </c>
      <c r="U2" s="46" t="s">
        <v>438</v>
      </c>
      <c r="V2" s="11">
        <v>45566</v>
      </c>
      <c r="W2" s="10">
        <v>39697</v>
      </c>
      <c r="X2" s="10">
        <v>47000</v>
      </c>
      <c r="Y2" s="10">
        <f t="shared" ref="Y2:Y11" si="0">W2+X2</f>
        <v>86697</v>
      </c>
      <c r="Z2" s="47">
        <f t="shared" ref="Z2:Z11" si="1">Y2-AB2</f>
        <v>27130</v>
      </c>
      <c r="AA2" s="47">
        <f t="shared" ref="AA2:AA11" si="2">(AB2-W2)/X2*100</f>
        <v>42.276595744680847</v>
      </c>
      <c r="AB2" s="48">
        <v>59567</v>
      </c>
    </row>
    <row r="3" spans="1:28" x14ac:dyDescent="0.3">
      <c r="A3" s="5">
        <v>3</v>
      </c>
      <c r="B3" s="34">
        <v>1</v>
      </c>
      <c r="C3" s="22" t="s">
        <v>183</v>
      </c>
      <c r="D3" s="22" t="s">
        <v>184</v>
      </c>
      <c r="E3" s="22" t="s">
        <v>309</v>
      </c>
      <c r="F3" s="22">
        <v>471</v>
      </c>
      <c r="G3" s="22" t="s">
        <v>186</v>
      </c>
      <c r="H3" s="22" t="s">
        <v>251</v>
      </c>
      <c r="I3" s="23">
        <v>45901</v>
      </c>
      <c r="J3" s="23">
        <f>EDATE(I3,K3)</f>
        <v>46569</v>
      </c>
      <c r="K3" s="22">
        <v>22</v>
      </c>
      <c r="L3" s="35">
        <f ca="1">IF(J3 &lt; TODAY(), -DATEDIF(J3, TODAY(), "M"), DATEDIF(TODAY(), J3, "M"))</f>
        <v>13</v>
      </c>
      <c r="N3">
        <v>3</v>
      </c>
      <c r="O3" s="20">
        <v>103</v>
      </c>
      <c r="P3" s="10" t="s">
        <v>163</v>
      </c>
      <c r="Q3" s="10" t="s">
        <v>235</v>
      </c>
      <c r="R3" s="10" t="s">
        <v>313</v>
      </c>
      <c r="S3" s="10">
        <v>276</v>
      </c>
      <c r="T3" s="10" t="s">
        <v>236</v>
      </c>
      <c r="U3" s="46" t="s">
        <v>438</v>
      </c>
      <c r="V3" s="11">
        <v>45566</v>
      </c>
      <c r="W3" s="10">
        <v>39697</v>
      </c>
      <c r="X3" s="10">
        <v>47000</v>
      </c>
      <c r="Y3" s="10">
        <f t="shared" si="0"/>
        <v>86697</v>
      </c>
      <c r="Z3" s="47">
        <f t="shared" si="1"/>
        <v>27130</v>
      </c>
      <c r="AA3" s="47">
        <f t="shared" si="2"/>
        <v>42.276595744680847</v>
      </c>
      <c r="AB3" s="48">
        <f t="shared" ref="AB3:AB11" si="3">AB2</f>
        <v>59567</v>
      </c>
    </row>
    <row r="4" spans="1:28" x14ac:dyDescent="0.3">
      <c r="A4" s="33">
        <v>4</v>
      </c>
      <c r="B4" s="34">
        <v>1</v>
      </c>
      <c r="C4" s="22" t="s">
        <v>183</v>
      </c>
      <c r="D4" s="22" t="s">
        <v>184</v>
      </c>
      <c r="E4" s="22" t="s">
        <v>309</v>
      </c>
      <c r="F4" s="22">
        <v>471</v>
      </c>
      <c r="G4" s="22" t="s">
        <v>186</v>
      </c>
      <c r="H4" s="22" t="s">
        <v>252</v>
      </c>
      <c r="I4" s="23">
        <v>45901</v>
      </c>
      <c r="J4" s="23">
        <f>EDATE(I4,K4)</f>
        <v>46569</v>
      </c>
      <c r="K4" s="22">
        <v>22</v>
      </c>
      <c r="L4" s="35">
        <f ca="1">IF(J4 &lt; TODAY(), -DATEDIF(J4, TODAY(), "M"), DATEDIF(TODAY(), J4, "M"))</f>
        <v>13</v>
      </c>
      <c r="N4" s="5">
        <v>4</v>
      </c>
      <c r="O4" s="20">
        <v>103</v>
      </c>
      <c r="P4" s="10" t="s">
        <v>163</v>
      </c>
      <c r="Q4" s="10" t="s">
        <v>235</v>
      </c>
      <c r="R4" s="10" t="s">
        <v>313</v>
      </c>
      <c r="S4" s="10">
        <v>276</v>
      </c>
      <c r="T4" s="10" t="s">
        <v>236</v>
      </c>
      <c r="U4" s="46" t="s">
        <v>438</v>
      </c>
      <c r="V4" s="11">
        <v>45566</v>
      </c>
      <c r="W4" s="10">
        <v>39697</v>
      </c>
      <c r="X4" s="10">
        <v>47000</v>
      </c>
      <c r="Y4" s="10">
        <f t="shared" si="0"/>
        <v>86697</v>
      </c>
      <c r="Z4" s="47">
        <f t="shared" si="1"/>
        <v>27130</v>
      </c>
      <c r="AA4" s="47">
        <f t="shared" si="2"/>
        <v>42.276595744680847</v>
      </c>
      <c r="AB4" s="48">
        <f t="shared" si="3"/>
        <v>59567</v>
      </c>
    </row>
    <row r="5" spans="1:28" x14ac:dyDescent="0.3">
      <c r="A5" s="5">
        <v>5</v>
      </c>
      <c r="B5" s="36">
        <v>1</v>
      </c>
      <c r="C5" s="26" t="s">
        <v>183</v>
      </c>
      <c r="D5" s="26" t="s">
        <v>184</v>
      </c>
      <c r="E5" s="26" t="s">
        <v>309</v>
      </c>
      <c r="F5" s="26">
        <v>471</v>
      </c>
      <c r="G5" s="26" t="s">
        <v>186</v>
      </c>
      <c r="H5" s="26" t="s">
        <v>252</v>
      </c>
      <c r="I5" s="27">
        <v>45901</v>
      </c>
      <c r="J5" s="27">
        <f>EDATE(I5,K5)</f>
        <v>46569</v>
      </c>
      <c r="K5" s="26">
        <v>22</v>
      </c>
      <c r="L5" s="37">
        <f ca="1">IF(J5 &lt; TODAY(), -DATEDIF(J5, TODAY(), "M"), DATEDIF(TODAY(), J5, "M"))</f>
        <v>13</v>
      </c>
      <c r="N5">
        <v>5</v>
      </c>
      <c r="O5" s="20">
        <v>103</v>
      </c>
      <c r="P5" s="10" t="s">
        <v>163</v>
      </c>
      <c r="Q5" s="10" t="s">
        <v>235</v>
      </c>
      <c r="R5" s="10" t="s">
        <v>313</v>
      </c>
      <c r="S5" s="10">
        <v>276</v>
      </c>
      <c r="T5" s="10" t="s">
        <v>236</v>
      </c>
      <c r="U5" s="46" t="s">
        <v>438</v>
      </c>
      <c r="V5" s="11">
        <v>45566</v>
      </c>
      <c r="W5" s="10">
        <v>39697</v>
      </c>
      <c r="X5" s="10">
        <v>47000</v>
      </c>
      <c r="Y5" s="10">
        <f t="shared" si="0"/>
        <v>86697</v>
      </c>
      <c r="Z5" s="47">
        <f t="shared" si="1"/>
        <v>27130</v>
      </c>
      <c r="AA5" s="47">
        <f t="shared" si="2"/>
        <v>42.276595744680847</v>
      </c>
      <c r="AB5" s="48">
        <f t="shared" si="3"/>
        <v>59567</v>
      </c>
    </row>
    <row r="6" spans="1:28" customFormat="1" x14ac:dyDescent="0.3">
      <c r="A6" s="5">
        <v>6</v>
      </c>
      <c r="B6" s="38" t="s">
        <v>431</v>
      </c>
      <c r="C6" s="32" t="s">
        <v>431</v>
      </c>
      <c r="D6" s="32" t="s">
        <v>431</v>
      </c>
      <c r="E6" s="32" t="s">
        <v>431</v>
      </c>
      <c r="F6" s="32" t="s">
        <v>431</v>
      </c>
      <c r="G6" s="32" t="s">
        <v>431</v>
      </c>
      <c r="H6" s="31" t="s">
        <v>431</v>
      </c>
      <c r="I6" s="32" t="s">
        <v>431</v>
      </c>
      <c r="J6" s="32" t="s">
        <v>431</v>
      </c>
      <c r="K6" s="32" t="s">
        <v>431</v>
      </c>
      <c r="L6" s="39" t="s">
        <v>431</v>
      </c>
      <c r="N6" s="5">
        <v>6</v>
      </c>
      <c r="O6" s="20">
        <v>103</v>
      </c>
      <c r="P6" s="10" t="s">
        <v>163</v>
      </c>
      <c r="Q6" s="10" t="s">
        <v>235</v>
      </c>
      <c r="R6" s="10" t="s">
        <v>313</v>
      </c>
      <c r="S6" s="10">
        <v>276</v>
      </c>
      <c r="T6" s="10" t="s">
        <v>236</v>
      </c>
      <c r="U6" s="46" t="s">
        <v>438</v>
      </c>
      <c r="V6" s="11">
        <v>45689</v>
      </c>
      <c r="W6" s="10">
        <v>43391</v>
      </c>
      <c r="X6" s="10">
        <v>47000</v>
      </c>
      <c r="Y6" s="10">
        <f t="shared" si="0"/>
        <v>90391</v>
      </c>
      <c r="Z6" s="47">
        <f t="shared" si="1"/>
        <v>30824</v>
      </c>
      <c r="AA6" s="47">
        <f t="shared" si="2"/>
        <v>34.417021276595747</v>
      </c>
      <c r="AB6" s="48">
        <f t="shared" si="3"/>
        <v>59567</v>
      </c>
    </row>
    <row r="7" spans="1:28" x14ac:dyDescent="0.3">
      <c r="A7" s="33">
        <v>7</v>
      </c>
      <c r="B7" s="40">
        <v>2</v>
      </c>
      <c r="C7" s="28" t="s">
        <v>183</v>
      </c>
      <c r="D7" s="28" t="s">
        <v>184</v>
      </c>
      <c r="E7" s="28" t="s">
        <v>309</v>
      </c>
      <c r="F7" s="28">
        <v>472</v>
      </c>
      <c r="G7" s="28" t="s">
        <v>187</v>
      </c>
      <c r="H7" s="28" t="s">
        <v>251</v>
      </c>
      <c r="I7" s="29">
        <v>45443</v>
      </c>
      <c r="J7" s="29">
        <f>EDATE(I7,K7)</f>
        <v>46112</v>
      </c>
      <c r="K7" s="28">
        <v>22</v>
      </c>
      <c r="L7" s="41">
        <f ca="1">IF(J7 &lt; TODAY(), -DATEDIF(J7, TODAY(), "M"), DATEDIF(TODAY(), J7, "M"))</f>
        <v>-1</v>
      </c>
      <c r="N7">
        <v>7</v>
      </c>
      <c r="O7" s="20">
        <v>103</v>
      </c>
      <c r="P7" s="10" t="s">
        <v>163</v>
      </c>
      <c r="Q7" s="10" t="s">
        <v>235</v>
      </c>
      <c r="R7" s="10" t="s">
        <v>313</v>
      </c>
      <c r="S7" s="10">
        <v>276</v>
      </c>
      <c r="T7" s="10" t="s">
        <v>236</v>
      </c>
      <c r="U7" s="46" t="s">
        <v>438</v>
      </c>
      <c r="V7" s="11">
        <v>45689</v>
      </c>
      <c r="W7" s="10">
        <v>43391</v>
      </c>
      <c r="X7" s="10">
        <v>47000</v>
      </c>
      <c r="Y7" s="10">
        <f t="shared" si="0"/>
        <v>90391</v>
      </c>
      <c r="Z7" s="47">
        <f t="shared" si="1"/>
        <v>30824</v>
      </c>
      <c r="AA7" s="47">
        <f t="shared" si="2"/>
        <v>34.417021276595747</v>
      </c>
      <c r="AB7" s="48">
        <f t="shared" si="3"/>
        <v>59567</v>
      </c>
    </row>
    <row r="8" spans="1:28" x14ac:dyDescent="0.3">
      <c r="A8" s="5">
        <v>8</v>
      </c>
      <c r="B8" s="34">
        <v>2</v>
      </c>
      <c r="C8" s="22" t="s">
        <v>183</v>
      </c>
      <c r="D8" s="22" t="s">
        <v>184</v>
      </c>
      <c r="E8" s="22" t="s">
        <v>309</v>
      </c>
      <c r="F8" s="22">
        <v>472</v>
      </c>
      <c r="G8" s="22" t="s">
        <v>187</v>
      </c>
      <c r="H8" s="22" t="s">
        <v>251</v>
      </c>
      <c r="I8" s="23">
        <v>45443</v>
      </c>
      <c r="J8" s="23">
        <f>EDATE(I8,K8)</f>
        <v>46112</v>
      </c>
      <c r="K8" s="22">
        <v>22</v>
      </c>
      <c r="L8" s="35">
        <f ca="1">IF(J8 &lt; TODAY(), -DATEDIF(J8, TODAY(), "M"), DATEDIF(TODAY(), J8, "M"))</f>
        <v>-1</v>
      </c>
      <c r="N8" s="5">
        <v>8</v>
      </c>
      <c r="O8" s="20">
        <v>103</v>
      </c>
      <c r="P8" s="10" t="s">
        <v>163</v>
      </c>
      <c r="Q8" s="10" t="s">
        <v>235</v>
      </c>
      <c r="R8" s="10" t="s">
        <v>313</v>
      </c>
      <c r="S8" s="10">
        <v>276</v>
      </c>
      <c r="T8" s="10" t="s">
        <v>236</v>
      </c>
      <c r="U8" s="46" t="s">
        <v>438</v>
      </c>
      <c r="V8" s="11">
        <v>46022</v>
      </c>
      <c r="W8" s="10">
        <v>59567</v>
      </c>
      <c r="X8" s="10">
        <v>25000</v>
      </c>
      <c r="Y8" s="10">
        <f t="shared" si="0"/>
        <v>84567</v>
      </c>
      <c r="Z8" s="47">
        <f t="shared" si="1"/>
        <v>25000</v>
      </c>
      <c r="AA8" s="47">
        <f t="shared" si="2"/>
        <v>0</v>
      </c>
      <c r="AB8" s="48">
        <f t="shared" si="3"/>
        <v>59567</v>
      </c>
    </row>
    <row r="9" spans="1:28" x14ac:dyDescent="0.3">
      <c r="A9" s="5">
        <v>9</v>
      </c>
      <c r="B9" s="34">
        <v>2</v>
      </c>
      <c r="C9" s="22" t="s">
        <v>183</v>
      </c>
      <c r="D9" s="22" t="s">
        <v>184</v>
      </c>
      <c r="E9" s="22" t="s">
        <v>309</v>
      </c>
      <c r="F9" s="22">
        <v>472</v>
      </c>
      <c r="G9" s="22" t="s">
        <v>187</v>
      </c>
      <c r="H9" s="22" t="s">
        <v>252</v>
      </c>
      <c r="I9" s="23">
        <v>45716</v>
      </c>
      <c r="J9" s="23">
        <f>EDATE(I9,K9)</f>
        <v>46384</v>
      </c>
      <c r="K9" s="22">
        <v>22</v>
      </c>
      <c r="L9" s="35">
        <f ca="1">IF(J9 &lt; TODAY(), -DATEDIF(J9, TODAY(), "M"), DATEDIF(TODAY(), J9, "M"))</f>
        <v>7</v>
      </c>
      <c r="N9">
        <v>9</v>
      </c>
      <c r="O9" s="20">
        <v>103</v>
      </c>
      <c r="P9" s="10" t="s">
        <v>163</v>
      </c>
      <c r="Q9" s="10" t="s">
        <v>235</v>
      </c>
      <c r="R9" s="10" t="s">
        <v>313</v>
      </c>
      <c r="S9" s="10">
        <v>276</v>
      </c>
      <c r="T9" s="10" t="s">
        <v>236</v>
      </c>
      <c r="U9" s="46" t="s">
        <v>438</v>
      </c>
      <c r="V9" s="11">
        <v>46022</v>
      </c>
      <c r="W9" s="10">
        <v>59567</v>
      </c>
      <c r="X9" s="10">
        <v>25000</v>
      </c>
      <c r="Y9" s="10">
        <f t="shared" si="0"/>
        <v>84567</v>
      </c>
      <c r="Z9" s="47">
        <f t="shared" si="1"/>
        <v>25000</v>
      </c>
      <c r="AA9" s="47">
        <f t="shared" si="2"/>
        <v>0</v>
      </c>
      <c r="AB9" s="48">
        <f t="shared" si="3"/>
        <v>59567</v>
      </c>
    </row>
    <row r="10" spans="1:28" x14ac:dyDescent="0.3">
      <c r="A10" s="33">
        <v>10</v>
      </c>
      <c r="B10" s="36">
        <v>2</v>
      </c>
      <c r="C10" s="26" t="s">
        <v>183</v>
      </c>
      <c r="D10" s="26" t="s">
        <v>184</v>
      </c>
      <c r="E10" s="26" t="s">
        <v>309</v>
      </c>
      <c r="F10" s="26">
        <v>472</v>
      </c>
      <c r="G10" s="26" t="s">
        <v>187</v>
      </c>
      <c r="H10" s="26" t="s">
        <v>252</v>
      </c>
      <c r="I10" s="27">
        <v>45716</v>
      </c>
      <c r="J10" s="27">
        <f>EDATE(I10,K10)</f>
        <v>46384</v>
      </c>
      <c r="K10" s="26">
        <v>22</v>
      </c>
      <c r="L10" s="37">
        <f ca="1">IF(J10 &lt; TODAY(), -DATEDIF(J10, TODAY(), "M"), DATEDIF(TODAY(), J10, "M"))</f>
        <v>7</v>
      </c>
      <c r="N10" s="5">
        <v>10</v>
      </c>
      <c r="O10" s="20">
        <v>103</v>
      </c>
      <c r="P10" s="10" t="s">
        <v>163</v>
      </c>
      <c r="Q10" s="10" t="s">
        <v>235</v>
      </c>
      <c r="R10" s="10" t="s">
        <v>313</v>
      </c>
      <c r="S10" s="10">
        <v>276</v>
      </c>
      <c r="T10" s="10" t="s">
        <v>236</v>
      </c>
      <c r="U10" s="46" t="s">
        <v>438</v>
      </c>
      <c r="V10" s="11">
        <v>46022</v>
      </c>
      <c r="W10" s="10">
        <v>59567</v>
      </c>
      <c r="X10" s="10">
        <v>25000</v>
      </c>
      <c r="Y10" s="10">
        <f t="shared" si="0"/>
        <v>84567</v>
      </c>
      <c r="Z10" s="47">
        <f t="shared" si="1"/>
        <v>25000</v>
      </c>
      <c r="AA10" s="47">
        <f t="shared" si="2"/>
        <v>0</v>
      </c>
      <c r="AB10" s="48">
        <f t="shared" si="3"/>
        <v>59567</v>
      </c>
    </row>
    <row r="11" spans="1:28" customFormat="1" x14ac:dyDescent="0.3">
      <c r="A11" s="5">
        <v>11</v>
      </c>
      <c r="B11" s="38" t="s">
        <v>431</v>
      </c>
      <c r="C11" s="32" t="s">
        <v>431</v>
      </c>
      <c r="D11" s="32" t="s">
        <v>431</v>
      </c>
      <c r="E11" s="32" t="s">
        <v>431</v>
      </c>
      <c r="F11" s="32" t="s">
        <v>431</v>
      </c>
      <c r="G11" s="32" t="s">
        <v>431</v>
      </c>
      <c r="H11" s="31" t="s">
        <v>431</v>
      </c>
      <c r="I11" s="32" t="s">
        <v>431</v>
      </c>
      <c r="J11" s="32" t="s">
        <v>431</v>
      </c>
      <c r="K11" s="32" t="s">
        <v>431</v>
      </c>
      <c r="L11" s="39" t="s">
        <v>431</v>
      </c>
      <c r="N11">
        <v>11</v>
      </c>
      <c r="O11" s="20">
        <v>103</v>
      </c>
      <c r="P11" s="10" t="s">
        <v>163</v>
      </c>
      <c r="Q11" s="10" t="s">
        <v>235</v>
      </c>
      <c r="R11" s="10" t="s">
        <v>313</v>
      </c>
      <c r="S11" s="10">
        <v>276</v>
      </c>
      <c r="T11" s="10" t="s">
        <v>236</v>
      </c>
      <c r="U11" s="46" t="s">
        <v>438</v>
      </c>
      <c r="V11" s="11">
        <v>46022</v>
      </c>
      <c r="W11" s="10">
        <v>59567</v>
      </c>
      <c r="X11" s="10">
        <v>25000</v>
      </c>
      <c r="Y11" s="10">
        <f t="shared" si="0"/>
        <v>84567</v>
      </c>
      <c r="Z11" s="47">
        <f t="shared" si="1"/>
        <v>25000</v>
      </c>
      <c r="AA11" s="47">
        <f t="shared" si="2"/>
        <v>0</v>
      </c>
      <c r="AB11" s="48">
        <f t="shared" si="3"/>
        <v>59567</v>
      </c>
    </row>
    <row r="12" spans="1:28" x14ac:dyDescent="0.3">
      <c r="A12" s="5">
        <v>12</v>
      </c>
      <c r="B12" s="40">
        <v>3</v>
      </c>
      <c r="C12" s="28" t="s">
        <v>183</v>
      </c>
      <c r="D12" s="28" t="s">
        <v>184</v>
      </c>
      <c r="E12" s="28" t="s">
        <v>309</v>
      </c>
      <c r="F12" s="28">
        <v>474</v>
      </c>
      <c r="G12" s="28" t="s">
        <v>189</v>
      </c>
      <c r="H12" s="28" t="s">
        <v>251</v>
      </c>
      <c r="I12" s="29">
        <v>45412</v>
      </c>
      <c r="J12" s="29">
        <f>EDATE(I12,K12)</f>
        <v>46081</v>
      </c>
      <c r="K12" s="28">
        <v>22</v>
      </c>
      <c r="L12" s="41">
        <f ca="1">IF(J12 &lt; TODAY(), -DATEDIF(J12, TODAY(), "M"), DATEDIF(TODAY(), J12, "M"))</f>
        <v>-2</v>
      </c>
      <c r="N12">
        <v>12</v>
      </c>
      <c r="O12" s="20" t="s">
        <v>431</v>
      </c>
      <c r="P12" s="10" t="s">
        <v>431</v>
      </c>
      <c r="Q12" s="10" t="s">
        <v>431</v>
      </c>
      <c r="R12" s="10" t="s">
        <v>431</v>
      </c>
      <c r="S12" s="10" t="s">
        <v>431</v>
      </c>
      <c r="T12" s="10" t="s">
        <v>431</v>
      </c>
      <c r="U12" s="10" t="s">
        <v>431</v>
      </c>
      <c r="V12" s="11" t="s">
        <v>431</v>
      </c>
      <c r="W12" s="11" t="s">
        <v>431</v>
      </c>
      <c r="X12" s="10" t="s">
        <v>431</v>
      </c>
      <c r="Y12" s="10" t="s">
        <v>431</v>
      </c>
      <c r="Z12" s="47" t="s">
        <v>431</v>
      </c>
      <c r="AA12" s="47" t="s">
        <v>431</v>
      </c>
      <c r="AB12" s="48" t="s">
        <v>431</v>
      </c>
    </row>
    <row r="13" spans="1:28" x14ac:dyDescent="0.3">
      <c r="A13" s="5">
        <v>13</v>
      </c>
      <c r="B13" s="34">
        <v>3</v>
      </c>
      <c r="C13" s="22" t="s">
        <v>183</v>
      </c>
      <c r="D13" s="22" t="s">
        <v>184</v>
      </c>
      <c r="E13" s="22" t="s">
        <v>309</v>
      </c>
      <c r="F13" s="22">
        <v>474</v>
      </c>
      <c r="G13" s="22" t="s">
        <v>189</v>
      </c>
      <c r="H13" s="22" t="s">
        <v>251</v>
      </c>
      <c r="I13" s="23">
        <v>45412</v>
      </c>
      <c r="J13" s="23">
        <f>EDATE(I13,K13)</f>
        <v>46081</v>
      </c>
      <c r="K13" s="22">
        <v>22</v>
      </c>
      <c r="L13" s="35">
        <f ca="1">IF(J13 &lt; TODAY(), -DATEDIF(J13, TODAY(), "M"), DATEDIF(TODAY(), J13, "M"))</f>
        <v>-2</v>
      </c>
      <c r="N13">
        <v>13</v>
      </c>
      <c r="O13" s="20">
        <v>111</v>
      </c>
      <c r="P13" s="10" t="s">
        <v>176</v>
      </c>
      <c r="Q13" s="10" t="s">
        <v>177</v>
      </c>
      <c r="R13" s="10" t="s">
        <v>313</v>
      </c>
      <c r="S13" s="10">
        <v>638</v>
      </c>
      <c r="T13" s="10" t="s">
        <v>240</v>
      </c>
      <c r="U13" s="46" t="s">
        <v>439</v>
      </c>
      <c r="V13" s="11">
        <v>46143</v>
      </c>
      <c r="W13" s="48">
        <v>73497</v>
      </c>
      <c r="X13" s="10">
        <v>23000</v>
      </c>
      <c r="Y13" s="10">
        <f t="shared" ref="Y13:Y18" si="4">W13+X13</f>
        <v>96497</v>
      </c>
      <c r="Z13" s="47">
        <f t="shared" ref="Z13:Z18" si="5">Y13-AB13</f>
        <v>23000</v>
      </c>
      <c r="AA13" s="47">
        <f t="shared" ref="AA13:AA18" si="6">(AB13-W13)/X13*100</f>
        <v>0</v>
      </c>
      <c r="AB13" s="48">
        <v>73497</v>
      </c>
    </row>
    <row r="14" spans="1:28" x14ac:dyDescent="0.3">
      <c r="A14" s="5">
        <v>14</v>
      </c>
      <c r="B14" s="34">
        <v>3</v>
      </c>
      <c r="C14" s="22" t="s">
        <v>183</v>
      </c>
      <c r="D14" s="22" t="s">
        <v>184</v>
      </c>
      <c r="E14" s="22" t="s">
        <v>309</v>
      </c>
      <c r="F14" s="22">
        <v>474</v>
      </c>
      <c r="G14" s="22" t="s">
        <v>189</v>
      </c>
      <c r="H14" s="22" t="s">
        <v>252</v>
      </c>
      <c r="I14" s="23">
        <v>45260</v>
      </c>
      <c r="J14" s="23">
        <f>EDATE(I14,K14)</f>
        <v>45930</v>
      </c>
      <c r="K14" s="22">
        <v>22</v>
      </c>
      <c r="L14" s="35">
        <f ca="1">IF(J14 &lt; TODAY(), -DATEDIF(J14, TODAY(), "M"), DATEDIF(TODAY(), J14, "M"))</f>
        <v>-7</v>
      </c>
      <c r="N14" s="5">
        <v>14</v>
      </c>
      <c r="O14" s="20">
        <v>111</v>
      </c>
      <c r="P14" s="10" t="s">
        <v>176</v>
      </c>
      <c r="Q14" s="10" t="s">
        <v>177</v>
      </c>
      <c r="R14" s="10" t="s">
        <v>313</v>
      </c>
      <c r="S14" s="10">
        <v>638</v>
      </c>
      <c r="T14" s="10" t="s">
        <v>240</v>
      </c>
      <c r="U14" s="46" t="s">
        <v>439</v>
      </c>
      <c r="V14" s="11">
        <v>46143</v>
      </c>
      <c r="W14" s="48">
        <v>73497</v>
      </c>
      <c r="X14" s="10">
        <v>23000</v>
      </c>
      <c r="Y14" s="10">
        <f t="shared" si="4"/>
        <v>96497</v>
      </c>
      <c r="Z14" s="47">
        <f t="shared" si="5"/>
        <v>23000</v>
      </c>
      <c r="AA14" s="47">
        <f t="shared" si="6"/>
        <v>0</v>
      </c>
      <c r="AB14" s="48">
        <f>AB13</f>
        <v>73497</v>
      </c>
    </row>
    <row r="15" spans="1:28" x14ac:dyDescent="0.3">
      <c r="A15" s="33">
        <v>15</v>
      </c>
      <c r="B15" s="36">
        <v>3</v>
      </c>
      <c r="C15" s="26" t="s">
        <v>183</v>
      </c>
      <c r="D15" s="26" t="s">
        <v>184</v>
      </c>
      <c r="E15" s="26" t="s">
        <v>309</v>
      </c>
      <c r="F15" s="26">
        <v>474</v>
      </c>
      <c r="G15" s="26" t="s">
        <v>189</v>
      </c>
      <c r="H15" s="26" t="s">
        <v>252</v>
      </c>
      <c r="I15" s="27">
        <v>45260</v>
      </c>
      <c r="J15" s="27">
        <f>EDATE(I15,K15)</f>
        <v>45930</v>
      </c>
      <c r="K15" s="26">
        <v>22</v>
      </c>
      <c r="L15" s="37">
        <f ca="1">IF(J15 &lt; TODAY(), -DATEDIF(J15, TODAY(), "M"), DATEDIF(TODAY(), J15, "M"))</f>
        <v>-7</v>
      </c>
      <c r="N15">
        <v>15</v>
      </c>
      <c r="O15" s="20">
        <v>111</v>
      </c>
      <c r="P15" s="10" t="s">
        <v>176</v>
      </c>
      <c r="Q15" s="10" t="s">
        <v>177</v>
      </c>
      <c r="R15" s="10" t="s">
        <v>313</v>
      </c>
      <c r="S15" s="10">
        <v>638</v>
      </c>
      <c r="T15" s="10" t="s">
        <v>240</v>
      </c>
      <c r="U15" s="46" t="s">
        <v>439</v>
      </c>
      <c r="V15" s="11">
        <v>41913</v>
      </c>
      <c r="W15" s="10">
        <v>59768</v>
      </c>
      <c r="X15" s="10">
        <v>40000</v>
      </c>
      <c r="Y15" s="10">
        <f t="shared" si="4"/>
        <v>99768</v>
      </c>
      <c r="Z15" s="47">
        <f t="shared" si="5"/>
        <v>26271</v>
      </c>
      <c r="AA15" s="47">
        <f t="shared" si="6"/>
        <v>34.322499999999998</v>
      </c>
      <c r="AB15" s="48">
        <f>AB14</f>
        <v>73497</v>
      </c>
    </row>
    <row r="16" spans="1:28" customFormat="1" x14ac:dyDescent="0.3">
      <c r="A16" s="33">
        <v>16</v>
      </c>
      <c r="B16" s="38" t="s">
        <v>431</v>
      </c>
      <c r="C16" s="32" t="s">
        <v>431</v>
      </c>
      <c r="D16" s="32" t="s">
        <v>431</v>
      </c>
      <c r="E16" s="32" t="s">
        <v>431</v>
      </c>
      <c r="F16" s="32" t="s">
        <v>431</v>
      </c>
      <c r="G16" s="32" t="s">
        <v>431</v>
      </c>
      <c r="H16" s="31" t="s">
        <v>431</v>
      </c>
      <c r="I16" s="32" t="s">
        <v>431</v>
      </c>
      <c r="J16" s="32" t="s">
        <v>431</v>
      </c>
      <c r="K16" s="32" t="s">
        <v>431</v>
      </c>
      <c r="L16" s="39" t="s">
        <v>431</v>
      </c>
      <c r="N16" s="5">
        <v>16</v>
      </c>
      <c r="O16" s="20">
        <v>111</v>
      </c>
      <c r="P16" s="10" t="s">
        <v>176</v>
      </c>
      <c r="Q16" s="10" t="s">
        <v>177</v>
      </c>
      <c r="R16" s="10" t="s">
        <v>313</v>
      </c>
      <c r="S16" s="10">
        <v>638</v>
      </c>
      <c r="T16" s="10" t="s">
        <v>240</v>
      </c>
      <c r="U16" s="46" t="s">
        <v>439</v>
      </c>
      <c r="V16" s="11">
        <v>41913</v>
      </c>
      <c r="W16" s="10">
        <v>59768</v>
      </c>
      <c r="X16" s="10">
        <v>40000</v>
      </c>
      <c r="Y16" s="10">
        <f t="shared" si="4"/>
        <v>99768</v>
      </c>
      <c r="Z16" s="47">
        <f t="shared" si="5"/>
        <v>26271</v>
      </c>
      <c r="AA16" s="47">
        <f t="shared" si="6"/>
        <v>34.322499999999998</v>
      </c>
      <c r="AB16" s="48">
        <f>AB15</f>
        <v>73497</v>
      </c>
    </row>
    <row r="17" spans="1:28" x14ac:dyDescent="0.3">
      <c r="A17" s="5">
        <v>17</v>
      </c>
      <c r="B17" s="40">
        <v>4</v>
      </c>
      <c r="C17" s="28" t="s">
        <v>183</v>
      </c>
      <c r="D17" s="28" t="s">
        <v>184</v>
      </c>
      <c r="E17" s="28" t="s">
        <v>309</v>
      </c>
      <c r="F17" s="28">
        <v>473</v>
      </c>
      <c r="G17" s="28" t="s">
        <v>188</v>
      </c>
      <c r="H17" s="28" t="s">
        <v>251</v>
      </c>
      <c r="I17" s="29">
        <v>45901</v>
      </c>
      <c r="J17" s="29">
        <f>EDATE(I17,K17)</f>
        <v>46569</v>
      </c>
      <c r="K17" s="28">
        <v>22</v>
      </c>
      <c r="L17" s="41">
        <f ca="1">IF(J17 &lt; TODAY(), -DATEDIF(J17, TODAY(), "M"), DATEDIF(TODAY(), J17, "M"))</f>
        <v>13</v>
      </c>
      <c r="N17">
        <v>17</v>
      </c>
      <c r="O17" s="20">
        <v>111</v>
      </c>
      <c r="P17" s="10" t="s">
        <v>176</v>
      </c>
      <c r="Q17" s="10" t="s">
        <v>177</v>
      </c>
      <c r="R17" s="10" t="s">
        <v>313</v>
      </c>
      <c r="S17" s="10">
        <v>638</v>
      </c>
      <c r="T17" s="10" t="s">
        <v>240</v>
      </c>
      <c r="U17" s="46" t="s">
        <v>439</v>
      </c>
      <c r="V17" s="11">
        <v>43862</v>
      </c>
      <c r="W17" s="10">
        <v>59768</v>
      </c>
      <c r="X17" s="10">
        <v>40000</v>
      </c>
      <c r="Y17" s="10">
        <f t="shared" si="4"/>
        <v>99768</v>
      </c>
      <c r="Z17" s="47">
        <f t="shared" si="5"/>
        <v>26271</v>
      </c>
      <c r="AA17" s="47">
        <f t="shared" si="6"/>
        <v>34.322499999999998</v>
      </c>
      <c r="AB17" s="48">
        <f>AB16</f>
        <v>73497</v>
      </c>
    </row>
    <row r="18" spans="1:28" x14ac:dyDescent="0.3">
      <c r="A18" s="5">
        <v>18</v>
      </c>
      <c r="B18" s="34">
        <v>4</v>
      </c>
      <c r="C18" s="22" t="s">
        <v>183</v>
      </c>
      <c r="D18" s="22" t="s">
        <v>184</v>
      </c>
      <c r="E18" s="22" t="s">
        <v>309</v>
      </c>
      <c r="F18" s="22">
        <v>473</v>
      </c>
      <c r="G18" s="22" t="s">
        <v>188</v>
      </c>
      <c r="H18" s="22" t="s">
        <v>251</v>
      </c>
      <c r="I18" s="23">
        <v>45901</v>
      </c>
      <c r="J18" s="23">
        <f>EDATE(I18,K18)</f>
        <v>46569</v>
      </c>
      <c r="K18" s="22">
        <v>22</v>
      </c>
      <c r="L18" s="35">
        <f ca="1">IF(J18 &lt; TODAY(), -DATEDIF(J18, TODAY(), "M"), DATEDIF(TODAY(), J18, "M"))</f>
        <v>13</v>
      </c>
      <c r="N18" s="5">
        <v>18</v>
      </c>
      <c r="O18" s="20">
        <v>111</v>
      </c>
      <c r="P18" s="10" t="s">
        <v>176</v>
      </c>
      <c r="Q18" s="10" t="s">
        <v>177</v>
      </c>
      <c r="R18" s="10" t="s">
        <v>313</v>
      </c>
      <c r="S18" s="10">
        <v>638</v>
      </c>
      <c r="T18" s="10" t="s">
        <v>240</v>
      </c>
      <c r="U18" s="46" t="s">
        <v>439</v>
      </c>
      <c r="V18" s="11">
        <v>43862</v>
      </c>
      <c r="W18" s="10">
        <v>59768</v>
      </c>
      <c r="X18" s="10">
        <v>40000</v>
      </c>
      <c r="Y18" s="10">
        <f t="shared" si="4"/>
        <v>99768</v>
      </c>
      <c r="Z18" s="47">
        <f t="shared" si="5"/>
        <v>26271</v>
      </c>
      <c r="AA18" s="47">
        <f t="shared" si="6"/>
        <v>34.322499999999998</v>
      </c>
      <c r="AB18" s="48">
        <f>AB17</f>
        <v>73497</v>
      </c>
    </row>
    <row r="19" spans="1:28" x14ac:dyDescent="0.3">
      <c r="A19" s="33">
        <v>19</v>
      </c>
      <c r="B19" s="34">
        <v>4</v>
      </c>
      <c r="C19" s="22" t="s">
        <v>183</v>
      </c>
      <c r="D19" s="22" t="s">
        <v>184</v>
      </c>
      <c r="E19" s="22" t="s">
        <v>309</v>
      </c>
      <c r="F19" s="22">
        <v>473</v>
      </c>
      <c r="G19" s="22" t="s">
        <v>188</v>
      </c>
      <c r="H19" s="22" t="s">
        <v>252</v>
      </c>
      <c r="I19" s="23">
        <v>45901</v>
      </c>
      <c r="J19" s="23">
        <f>EDATE(I19,K19)</f>
        <v>46569</v>
      </c>
      <c r="K19" s="22">
        <v>22</v>
      </c>
      <c r="L19" s="35">
        <f ca="1">IF(J19 &lt; TODAY(), -DATEDIF(J19, TODAY(), "M"), DATEDIF(TODAY(), J19, "M"))</f>
        <v>13</v>
      </c>
      <c r="N19">
        <v>23</v>
      </c>
      <c r="O19" s="20" t="s">
        <v>431</v>
      </c>
      <c r="P19" s="10" t="s">
        <v>431</v>
      </c>
      <c r="Q19" s="10" t="s">
        <v>431</v>
      </c>
      <c r="R19" s="10" t="s">
        <v>431</v>
      </c>
      <c r="S19" s="10" t="s">
        <v>431</v>
      </c>
      <c r="T19" s="10" t="s">
        <v>431</v>
      </c>
      <c r="U19" s="10" t="s">
        <v>431</v>
      </c>
      <c r="V19" s="11" t="s">
        <v>431</v>
      </c>
      <c r="W19" s="11" t="s">
        <v>431</v>
      </c>
      <c r="X19" s="10" t="s">
        <v>431</v>
      </c>
      <c r="Y19" s="10" t="s">
        <v>431</v>
      </c>
      <c r="Z19" s="47" t="s">
        <v>431</v>
      </c>
      <c r="AA19" s="47" t="s">
        <v>431</v>
      </c>
      <c r="AB19" s="48" t="s">
        <v>431</v>
      </c>
    </row>
    <row r="20" spans="1:28" x14ac:dyDescent="0.3">
      <c r="A20" s="5">
        <v>20</v>
      </c>
      <c r="B20" s="36">
        <v>4</v>
      </c>
      <c r="C20" s="26" t="s">
        <v>183</v>
      </c>
      <c r="D20" s="26" t="s">
        <v>184</v>
      </c>
      <c r="E20" s="26" t="s">
        <v>309</v>
      </c>
      <c r="F20" s="26">
        <v>473</v>
      </c>
      <c r="G20" s="26" t="s">
        <v>188</v>
      </c>
      <c r="H20" s="26" t="s">
        <v>252</v>
      </c>
      <c r="I20" s="27">
        <v>45901</v>
      </c>
      <c r="J20" s="27">
        <f>EDATE(I20,K20)</f>
        <v>46569</v>
      </c>
      <c r="K20" s="26">
        <v>22</v>
      </c>
      <c r="L20" s="37">
        <f ca="1">IF(J20 &lt; TODAY(), -DATEDIF(J20, TODAY(), "M"), DATEDIF(TODAY(), J20, "M"))</f>
        <v>13</v>
      </c>
      <c r="N20" s="5">
        <v>24</v>
      </c>
      <c r="O20" s="20">
        <v>112</v>
      </c>
      <c r="P20" s="10" t="s">
        <v>163</v>
      </c>
      <c r="Q20" s="10" t="s">
        <v>235</v>
      </c>
      <c r="R20" s="10" t="s">
        <v>310</v>
      </c>
      <c r="S20" s="10">
        <v>871</v>
      </c>
      <c r="T20" s="10" t="s">
        <v>237</v>
      </c>
      <c r="U20" s="46" t="s">
        <v>438</v>
      </c>
      <c r="V20" s="11">
        <v>44865</v>
      </c>
      <c r="W20" s="10">
        <v>11261</v>
      </c>
      <c r="X20" s="10">
        <v>47000</v>
      </c>
      <c r="Y20" s="10">
        <f t="shared" ref="Y20:Y29" si="7">W20+X20</f>
        <v>58261</v>
      </c>
      <c r="Z20" s="47">
        <f t="shared" ref="Z20:Z29" si="8">Y20-AB20</f>
        <v>13116</v>
      </c>
      <c r="AA20" s="47">
        <f t="shared" ref="AA20:AA29" si="9">(AB20-W20)/X20*100</f>
        <v>72.093617021276586</v>
      </c>
      <c r="AB20" s="48">
        <v>45145</v>
      </c>
    </row>
    <row r="21" spans="1:28" customFormat="1" x14ac:dyDescent="0.3">
      <c r="A21" s="5">
        <v>21</v>
      </c>
      <c r="B21" s="38" t="s">
        <v>431</v>
      </c>
      <c r="C21" s="32" t="s">
        <v>431</v>
      </c>
      <c r="D21" s="32" t="s">
        <v>431</v>
      </c>
      <c r="E21" s="32" t="s">
        <v>431</v>
      </c>
      <c r="F21" s="32" t="s">
        <v>431</v>
      </c>
      <c r="G21" s="32" t="s">
        <v>431</v>
      </c>
      <c r="H21" s="31" t="s">
        <v>431</v>
      </c>
      <c r="I21" s="32" t="s">
        <v>431</v>
      </c>
      <c r="J21" s="32" t="s">
        <v>431</v>
      </c>
      <c r="K21" s="32" t="s">
        <v>431</v>
      </c>
      <c r="L21" s="39" t="s">
        <v>431</v>
      </c>
      <c r="N21">
        <v>25</v>
      </c>
      <c r="O21" s="20">
        <v>112</v>
      </c>
      <c r="P21" s="10" t="s">
        <v>163</v>
      </c>
      <c r="Q21" s="10" t="s">
        <v>235</v>
      </c>
      <c r="R21" s="10" t="s">
        <v>310</v>
      </c>
      <c r="S21" s="10">
        <v>871</v>
      </c>
      <c r="T21" s="10" t="s">
        <v>237</v>
      </c>
      <c r="U21" s="46" t="s">
        <v>438</v>
      </c>
      <c r="V21" s="11">
        <v>44865</v>
      </c>
      <c r="W21" s="10">
        <v>11261</v>
      </c>
      <c r="X21" s="10">
        <v>47000</v>
      </c>
      <c r="Y21" s="10">
        <f t="shared" si="7"/>
        <v>58261</v>
      </c>
      <c r="Z21" s="47">
        <f t="shared" si="8"/>
        <v>13116</v>
      </c>
      <c r="AA21" s="47">
        <f t="shared" si="9"/>
        <v>72.093617021276586</v>
      </c>
      <c r="AB21" s="48">
        <f t="shared" ref="AB21:AB29" si="10">AB20</f>
        <v>45145</v>
      </c>
    </row>
    <row r="22" spans="1:28" x14ac:dyDescent="0.3">
      <c r="A22" s="5">
        <v>22</v>
      </c>
      <c r="B22" s="40">
        <v>8</v>
      </c>
      <c r="C22" s="28" t="s">
        <v>250</v>
      </c>
      <c r="D22" s="28" t="s">
        <v>208</v>
      </c>
      <c r="E22" s="28" t="s">
        <v>320</v>
      </c>
      <c r="F22" s="28">
        <v>340</v>
      </c>
      <c r="G22" s="28" t="s">
        <v>209</v>
      </c>
      <c r="H22" s="28" t="s">
        <v>415</v>
      </c>
      <c r="I22" s="29">
        <v>46081</v>
      </c>
      <c r="J22" s="29">
        <f>EDATE(I22,K22)</f>
        <v>46811</v>
      </c>
      <c r="K22" s="28">
        <v>24</v>
      </c>
      <c r="L22" s="41">
        <f ca="1">IF(J22 &lt; TODAY(), -DATEDIF(J22, TODAY(), "M"), DATEDIF(TODAY(), J22, "M"))</f>
        <v>21</v>
      </c>
      <c r="N22" s="5">
        <v>26</v>
      </c>
      <c r="O22" s="20">
        <v>112</v>
      </c>
      <c r="P22" s="10" t="s">
        <v>163</v>
      </c>
      <c r="Q22" s="10" t="s">
        <v>235</v>
      </c>
      <c r="R22" s="10" t="s">
        <v>310</v>
      </c>
      <c r="S22" s="10">
        <v>871</v>
      </c>
      <c r="T22" s="10" t="s">
        <v>237</v>
      </c>
      <c r="U22" s="46" t="s">
        <v>438</v>
      </c>
      <c r="V22" s="11">
        <v>45748</v>
      </c>
      <c r="W22" s="10">
        <v>33982</v>
      </c>
      <c r="X22" s="10">
        <v>47000</v>
      </c>
      <c r="Y22" s="10">
        <f t="shared" si="7"/>
        <v>80982</v>
      </c>
      <c r="Z22" s="47">
        <f t="shared" si="8"/>
        <v>35837</v>
      </c>
      <c r="AA22" s="47">
        <f t="shared" si="9"/>
        <v>23.751063829787235</v>
      </c>
      <c r="AB22" s="48">
        <f t="shared" si="10"/>
        <v>45145</v>
      </c>
    </row>
    <row r="23" spans="1:28" x14ac:dyDescent="0.3">
      <c r="A23" s="33">
        <v>23</v>
      </c>
      <c r="B23" s="34">
        <v>8</v>
      </c>
      <c r="C23" s="22" t="s">
        <v>250</v>
      </c>
      <c r="D23" s="22" t="s">
        <v>208</v>
      </c>
      <c r="E23" s="22" t="s">
        <v>320</v>
      </c>
      <c r="F23" s="22">
        <v>340</v>
      </c>
      <c r="G23" s="22" t="s">
        <v>209</v>
      </c>
      <c r="H23" s="22" t="s">
        <v>415</v>
      </c>
      <c r="I23" s="23">
        <v>46081</v>
      </c>
      <c r="J23" s="23">
        <f>EDATE(I23,K23)</f>
        <v>46811</v>
      </c>
      <c r="K23" s="22">
        <v>24</v>
      </c>
      <c r="L23" s="35">
        <f ca="1">IF(J23 &lt; TODAY(), -DATEDIF(J23, TODAY(), "M"), DATEDIF(TODAY(), J23, "M"))</f>
        <v>21</v>
      </c>
      <c r="N23">
        <v>27</v>
      </c>
      <c r="O23" s="20">
        <v>112</v>
      </c>
      <c r="P23" s="10" t="s">
        <v>163</v>
      </c>
      <c r="Q23" s="10" t="s">
        <v>235</v>
      </c>
      <c r="R23" s="10" t="s">
        <v>310</v>
      </c>
      <c r="S23" s="10">
        <v>871</v>
      </c>
      <c r="T23" s="10" t="s">
        <v>237</v>
      </c>
      <c r="U23" s="46" t="s">
        <v>438</v>
      </c>
      <c r="V23" s="11">
        <v>45748</v>
      </c>
      <c r="W23" s="10">
        <v>33982</v>
      </c>
      <c r="X23" s="10">
        <v>47000</v>
      </c>
      <c r="Y23" s="10">
        <f t="shared" si="7"/>
        <v>80982</v>
      </c>
      <c r="Z23" s="47">
        <f t="shared" si="8"/>
        <v>35837</v>
      </c>
      <c r="AA23" s="47">
        <f t="shared" si="9"/>
        <v>23.751063829787235</v>
      </c>
      <c r="AB23" s="48">
        <f t="shared" si="10"/>
        <v>45145</v>
      </c>
    </row>
    <row r="24" spans="1:28" x14ac:dyDescent="0.3">
      <c r="A24" s="33">
        <v>24</v>
      </c>
      <c r="B24" s="34">
        <v>8</v>
      </c>
      <c r="C24" s="22" t="s">
        <v>250</v>
      </c>
      <c r="D24" s="22" t="s">
        <v>208</v>
      </c>
      <c r="E24" s="22" t="s">
        <v>320</v>
      </c>
      <c r="F24" s="22">
        <v>340</v>
      </c>
      <c r="G24" s="22" t="s">
        <v>209</v>
      </c>
      <c r="H24" s="22" t="s">
        <v>414</v>
      </c>
      <c r="I24" s="23">
        <v>46081</v>
      </c>
      <c r="J24" s="23">
        <f>EDATE(I24,K24)</f>
        <v>46811</v>
      </c>
      <c r="K24" s="22">
        <v>24</v>
      </c>
      <c r="L24" s="35">
        <f ca="1">IF(J24 &lt; TODAY(), -DATEDIF(J24, TODAY(), "M"), DATEDIF(TODAY(), J24, "M"))</f>
        <v>21</v>
      </c>
      <c r="N24" s="5">
        <v>28</v>
      </c>
      <c r="O24" s="20">
        <v>112</v>
      </c>
      <c r="P24" s="10" t="s">
        <v>163</v>
      </c>
      <c r="Q24" s="10" t="s">
        <v>235</v>
      </c>
      <c r="R24" s="10" t="s">
        <v>310</v>
      </c>
      <c r="S24" s="10">
        <v>871</v>
      </c>
      <c r="T24" s="10" t="s">
        <v>237</v>
      </c>
      <c r="U24" s="46" t="s">
        <v>438</v>
      </c>
      <c r="V24" s="11">
        <v>45748</v>
      </c>
      <c r="W24" s="10">
        <v>33982</v>
      </c>
      <c r="X24" s="10">
        <v>47000</v>
      </c>
      <c r="Y24" s="10">
        <f t="shared" si="7"/>
        <v>80982</v>
      </c>
      <c r="Z24" s="47">
        <f t="shared" si="8"/>
        <v>35837</v>
      </c>
      <c r="AA24" s="47">
        <f t="shared" si="9"/>
        <v>23.751063829787235</v>
      </c>
      <c r="AB24" s="48">
        <f t="shared" si="10"/>
        <v>45145</v>
      </c>
    </row>
    <row r="25" spans="1:28" x14ac:dyDescent="0.3">
      <c r="A25" s="5">
        <v>25</v>
      </c>
      <c r="B25" s="36">
        <v>8</v>
      </c>
      <c r="C25" s="26" t="s">
        <v>250</v>
      </c>
      <c r="D25" s="26" t="s">
        <v>208</v>
      </c>
      <c r="E25" s="26" t="s">
        <v>320</v>
      </c>
      <c r="F25" s="26">
        <v>340</v>
      </c>
      <c r="G25" s="26" t="s">
        <v>209</v>
      </c>
      <c r="H25" s="26" t="s">
        <v>414</v>
      </c>
      <c r="I25" s="27">
        <v>46081</v>
      </c>
      <c r="J25" s="27">
        <f>EDATE(I25,K25)</f>
        <v>46811</v>
      </c>
      <c r="K25" s="26">
        <v>24</v>
      </c>
      <c r="L25" s="37">
        <f ca="1">IF(J25 &lt; TODAY(), -DATEDIF(J25, TODAY(), "M"), DATEDIF(TODAY(), J25, "M"))</f>
        <v>21</v>
      </c>
      <c r="N25">
        <v>29</v>
      </c>
      <c r="O25" s="20">
        <v>112</v>
      </c>
      <c r="P25" s="10" t="s">
        <v>163</v>
      </c>
      <c r="Q25" s="10" t="s">
        <v>235</v>
      </c>
      <c r="R25" s="10" t="s">
        <v>310</v>
      </c>
      <c r="S25" s="10">
        <v>871</v>
      </c>
      <c r="T25" s="10" t="s">
        <v>237</v>
      </c>
      <c r="U25" s="46" t="s">
        <v>438</v>
      </c>
      <c r="V25" s="11">
        <v>45748</v>
      </c>
      <c r="W25" s="10">
        <v>33982</v>
      </c>
      <c r="X25" s="10">
        <v>47000</v>
      </c>
      <c r="Y25" s="10">
        <f t="shared" si="7"/>
        <v>80982</v>
      </c>
      <c r="Z25" s="47">
        <f t="shared" si="8"/>
        <v>35837</v>
      </c>
      <c r="AA25" s="47">
        <f t="shared" si="9"/>
        <v>23.751063829787235</v>
      </c>
      <c r="AB25" s="48">
        <f t="shared" si="10"/>
        <v>45145</v>
      </c>
    </row>
    <row r="26" spans="1:28" customFormat="1" x14ac:dyDescent="0.3">
      <c r="A26" s="5">
        <v>26</v>
      </c>
      <c r="B26" s="38" t="s">
        <v>431</v>
      </c>
      <c r="C26" s="32" t="s">
        <v>431</v>
      </c>
      <c r="D26" s="32" t="s">
        <v>431</v>
      </c>
      <c r="E26" s="32" t="s">
        <v>431</v>
      </c>
      <c r="F26" s="32" t="s">
        <v>431</v>
      </c>
      <c r="G26" s="32" t="s">
        <v>431</v>
      </c>
      <c r="H26" s="31" t="s">
        <v>431</v>
      </c>
      <c r="I26" s="32" t="s">
        <v>431</v>
      </c>
      <c r="J26" s="32" t="s">
        <v>431</v>
      </c>
      <c r="K26" s="32" t="s">
        <v>431</v>
      </c>
      <c r="L26" s="39" t="s">
        <v>431</v>
      </c>
      <c r="N26" s="5">
        <v>30</v>
      </c>
      <c r="O26" s="20">
        <v>112</v>
      </c>
      <c r="P26" s="10" t="s">
        <v>163</v>
      </c>
      <c r="Q26" s="10" t="s">
        <v>235</v>
      </c>
      <c r="R26" s="10" t="s">
        <v>310</v>
      </c>
      <c r="S26" s="10">
        <v>871</v>
      </c>
      <c r="T26" s="10" t="s">
        <v>237</v>
      </c>
      <c r="U26" s="46" t="s">
        <v>438</v>
      </c>
      <c r="V26" s="11">
        <v>45870</v>
      </c>
      <c r="W26" s="10">
        <v>37001</v>
      </c>
      <c r="X26" s="10">
        <v>47000</v>
      </c>
      <c r="Y26" s="10">
        <f t="shared" si="7"/>
        <v>84001</v>
      </c>
      <c r="Z26" s="47">
        <f t="shared" si="8"/>
        <v>38856</v>
      </c>
      <c r="AA26" s="47">
        <f t="shared" si="9"/>
        <v>17.327659574468086</v>
      </c>
      <c r="AB26" s="48">
        <f t="shared" si="10"/>
        <v>45145</v>
      </c>
    </row>
    <row r="27" spans="1:28" x14ac:dyDescent="0.3">
      <c r="A27" s="5">
        <v>27</v>
      </c>
      <c r="B27" s="40">
        <v>9</v>
      </c>
      <c r="C27" s="28" t="s">
        <v>183</v>
      </c>
      <c r="D27" s="28" t="s">
        <v>184</v>
      </c>
      <c r="E27" s="28" t="s">
        <v>309</v>
      </c>
      <c r="F27" s="28">
        <v>470</v>
      </c>
      <c r="G27" s="28" t="s">
        <v>185</v>
      </c>
      <c r="H27" s="28" t="s">
        <v>251</v>
      </c>
      <c r="I27" s="29">
        <v>45689</v>
      </c>
      <c r="J27" s="29">
        <f>EDATE(I27,K27)</f>
        <v>46357</v>
      </c>
      <c r="K27" s="28">
        <v>22</v>
      </c>
      <c r="L27" s="41">
        <f ca="1">IF(J27 &lt; TODAY(), -DATEDIF(J27, TODAY(), "M"), DATEDIF(TODAY(), J27, "M"))</f>
        <v>6</v>
      </c>
      <c r="N27">
        <v>31</v>
      </c>
      <c r="O27" s="20">
        <v>112</v>
      </c>
      <c r="P27" s="10" t="s">
        <v>163</v>
      </c>
      <c r="Q27" s="10" t="s">
        <v>235</v>
      </c>
      <c r="R27" s="10" t="s">
        <v>310</v>
      </c>
      <c r="S27" s="10">
        <v>871</v>
      </c>
      <c r="T27" s="10" t="s">
        <v>237</v>
      </c>
      <c r="U27" s="46" t="s">
        <v>438</v>
      </c>
      <c r="V27" s="11">
        <v>45870</v>
      </c>
      <c r="W27" s="10">
        <v>37001</v>
      </c>
      <c r="X27" s="10">
        <v>47000</v>
      </c>
      <c r="Y27" s="10">
        <f t="shared" si="7"/>
        <v>84001</v>
      </c>
      <c r="Z27" s="47">
        <f t="shared" si="8"/>
        <v>38856</v>
      </c>
      <c r="AA27" s="47">
        <f t="shared" si="9"/>
        <v>17.327659574468086</v>
      </c>
      <c r="AB27" s="48">
        <f t="shared" si="10"/>
        <v>45145</v>
      </c>
    </row>
    <row r="28" spans="1:28" x14ac:dyDescent="0.3">
      <c r="A28" s="33">
        <v>28</v>
      </c>
      <c r="B28" s="34">
        <v>9</v>
      </c>
      <c r="C28" s="22" t="s">
        <v>183</v>
      </c>
      <c r="D28" s="22" t="s">
        <v>184</v>
      </c>
      <c r="E28" s="22" t="s">
        <v>309</v>
      </c>
      <c r="F28" s="22">
        <v>470</v>
      </c>
      <c r="G28" s="22" t="s">
        <v>185</v>
      </c>
      <c r="H28" s="22" t="s">
        <v>251</v>
      </c>
      <c r="I28" s="23">
        <v>45689</v>
      </c>
      <c r="J28" s="23">
        <f>EDATE(I28,K28)</f>
        <v>46357</v>
      </c>
      <c r="K28" s="22">
        <v>22</v>
      </c>
      <c r="L28" s="35">
        <f ca="1">IF(J28 &lt; TODAY(), -DATEDIF(J28, TODAY(), "M"), DATEDIF(TODAY(), J28, "M"))</f>
        <v>6</v>
      </c>
      <c r="N28" s="5">
        <v>32</v>
      </c>
      <c r="O28" s="20">
        <v>112</v>
      </c>
      <c r="P28" s="10" t="s">
        <v>163</v>
      </c>
      <c r="Q28" s="10" t="s">
        <v>235</v>
      </c>
      <c r="R28" s="10" t="s">
        <v>310</v>
      </c>
      <c r="S28" s="10">
        <v>871</v>
      </c>
      <c r="T28" s="10" t="s">
        <v>237</v>
      </c>
      <c r="U28" s="46" t="s">
        <v>438</v>
      </c>
      <c r="V28" s="11">
        <v>45870</v>
      </c>
      <c r="W28" s="10">
        <v>37001</v>
      </c>
      <c r="X28" s="10">
        <v>47000</v>
      </c>
      <c r="Y28" s="10">
        <f t="shared" si="7"/>
        <v>84001</v>
      </c>
      <c r="Z28" s="47">
        <f t="shared" si="8"/>
        <v>38856</v>
      </c>
      <c r="AA28" s="47">
        <f t="shared" si="9"/>
        <v>17.327659574468086</v>
      </c>
      <c r="AB28" s="48">
        <f t="shared" si="10"/>
        <v>45145</v>
      </c>
    </row>
    <row r="29" spans="1:28" x14ac:dyDescent="0.3">
      <c r="A29" s="5">
        <v>29</v>
      </c>
      <c r="B29" s="34">
        <v>9</v>
      </c>
      <c r="C29" s="22" t="s">
        <v>183</v>
      </c>
      <c r="D29" s="22" t="s">
        <v>184</v>
      </c>
      <c r="E29" s="22" t="s">
        <v>309</v>
      </c>
      <c r="F29" s="22">
        <v>470</v>
      </c>
      <c r="G29" s="22" t="s">
        <v>185</v>
      </c>
      <c r="H29" s="22" t="s">
        <v>416</v>
      </c>
      <c r="I29" s="23">
        <v>46081</v>
      </c>
      <c r="J29" s="23">
        <f>EDATE(I29,K29)</f>
        <v>46811</v>
      </c>
      <c r="K29" s="22">
        <v>24</v>
      </c>
      <c r="L29" s="35">
        <f ca="1">IF(J29 &lt; TODAY(), -DATEDIF(J29, TODAY(), "M"), DATEDIF(TODAY(), J29, "M"))</f>
        <v>21</v>
      </c>
      <c r="N29">
        <v>33</v>
      </c>
      <c r="O29" s="20">
        <v>112</v>
      </c>
      <c r="P29" s="10" t="s">
        <v>163</v>
      </c>
      <c r="Q29" s="10" t="s">
        <v>235</v>
      </c>
      <c r="R29" s="10" t="s">
        <v>310</v>
      </c>
      <c r="S29" s="10">
        <v>871</v>
      </c>
      <c r="T29" s="10" t="s">
        <v>237</v>
      </c>
      <c r="U29" s="46" t="s">
        <v>438</v>
      </c>
      <c r="V29" s="11">
        <v>45870</v>
      </c>
      <c r="W29" s="10">
        <v>37001</v>
      </c>
      <c r="X29" s="10">
        <v>47000</v>
      </c>
      <c r="Y29" s="10">
        <f t="shared" si="7"/>
        <v>84001</v>
      </c>
      <c r="Z29" s="47">
        <f t="shared" si="8"/>
        <v>38856</v>
      </c>
      <c r="AA29" s="47">
        <f t="shared" si="9"/>
        <v>17.327659574468086</v>
      </c>
      <c r="AB29" s="48">
        <f t="shared" si="10"/>
        <v>45145</v>
      </c>
    </row>
    <row r="30" spans="1:28" x14ac:dyDescent="0.3">
      <c r="A30" s="5">
        <v>30</v>
      </c>
      <c r="B30" s="36">
        <v>9</v>
      </c>
      <c r="C30" s="26" t="s">
        <v>183</v>
      </c>
      <c r="D30" s="26" t="s">
        <v>184</v>
      </c>
      <c r="E30" s="26" t="s">
        <v>309</v>
      </c>
      <c r="F30" s="26">
        <v>470</v>
      </c>
      <c r="G30" s="26" t="s">
        <v>185</v>
      </c>
      <c r="H30" s="26" t="s">
        <v>416</v>
      </c>
      <c r="I30" s="27">
        <v>46081</v>
      </c>
      <c r="J30" s="27">
        <f>EDATE(I30,K30)</f>
        <v>46811</v>
      </c>
      <c r="K30" s="26">
        <v>24</v>
      </c>
      <c r="L30" s="37">
        <f ca="1">IF(J30 &lt; TODAY(), -DATEDIF(J30, TODAY(), "M"), DATEDIF(TODAY(), J30, "M"))</f>
        <v>21</v>
      </c>
      <c r="N30">
        <v>34</v>
      </c>
      <c r="O30" s="20" t="s">
        <v>431</v>
      </c>
      <c r="P30" s="10" t="s">
        <v>431</v>
      </c>
      <c r="Q30" s="10" t="s">
        <v>431</v>
      </c>
      <c r="R30" s="10" t="s">
        <v>431</v>
      </c>
      <c r="S30" s="10" t="s">
        <v>431</v>
      </c>
      <c r="T30" s="10" t="s">
        <v>431</v>
      </c>
      <c r="U30" s="10" t="s">
        <v>431</v>
      </c>
      <c r="V30" s="11" t="s">
        <v>431</v>
      </c>
      <c r="W30" s="11" t="s">
        <v>431</v>
      </c>
      <c r="X30" s="10" t="s">
        <v>431</v>
      </c>
      <c r="Y30" s="10" t="s">
        <v>431</v>
      </c>
      <c r="Z30" s="47" t="s">
        <v>431</v>
      </c>
      <c r="AA30" s="47" t="s">
        <v>431</v>
      </c>
      <c r="AB30" s="48" t="s">
        <v>431</v>
      </c>
    </row>
    <row r="31" spans="1:28" customFormat="1" x14ac:dyDescent="0.3">
      <c r="A31" s="33">
        <v>31</v>
      </c>
      <c r="B31" s="38" t="s">
        <v>431</v>
      </c>
      <c r="C31" s="32" t="s">
        <v>431</v>
      </c>
      <c r="D31" s="32" t="s">
        <v>431</v>
      </c>
      <c r="E31" s="32" t="s">
        <v>431</v>
      </c>
      <c r="F31" s="32" t="s">
        <v>431</v>
      </c>
      <c r="G31" s="32" t="s">
        <v>431</v>
      </c>
      <c r="H31" s="31" t="s">
        <v>431</v>
      </c>
      <c r="I31" s="32" t="s">
        <v>431</v>
      </c>
      <c r="J31" s="32" t="s">
        <v>431</v>
      </c>
      <c r="K31" s="32" t="s">
        <v>431</v>
      </c>
      <c r="L31" s="39" t="s">
        <v>431</v>
      </c>
      <c r="N31">
        <v>35</v>
      </c>
      <c r="O31" s="20">
        <v>113</v>
      </c>
      <c r="P31" s="10" t="s">
        <v>163</v>
      </c>
      <c r="Q31" s="10" t="s">
        <v>238</v>
      </c>
      <c r="R31" s="10" t="s">
        <v>312</v>
      </c>
      <c r="S31" s="10">
        <v>349</v>
      </c>
      <c r="T31" s="10" t="s">
        <v>239</v>
      </c>
      <c r="U31" s="46" t="s">
        <v>440</v>
      </c>
      <c r="V31" s="11">
        <v>45931</v>
      </c>
      <c r="W31" s="10">
        <v>92832</v>
      </c>
      <c r="X31" s="10">
        <v>47000</v>
      </c>
      <c r="Y31" s="10">
        <f t="shared" ref="Y31:Y40" si="11">W31+X31</f>
        <v>139832</v>
      </c>
      <c r="Z31" s="47">
        <f t="shared" ref="Z31:Z40" si="12">Y31-AB31</f>
        <v>44394</v>
      </c>
      <c r="AA31" s="47">
        <f t="shared" ref="AA31:AA40" si="13">(AB31-W31)/X31*100</f>
        <v>5.5446808510638297</v>
      </c>
      <c r="AB31" s="48">
        <v>95438</v>
      </c>
    </row>
    <row r="32" spans="1:28" x14ac:dyDescent="0.3">
      <c r="A32" s="5">
        <v>32</v>
      </c>
      <c r="B32" s="40">
        <v>10</v>
      </c>
      <c r="C32" s="28" t="s">
        <v>183</v>
      </c>
      <c r="D32" s="28" t="s">
        <v>184</v>
      </c>
      <c r="E32" s="28" t="s">
        <v>309</v>
      </c>
      <c r="F32" s="28">
        <v>586</v>
      </c>
      <c r="G32" s="28" t="s">
        <v>190</v>
      </c>
      <c r="H32" s="28" t="s">
        <v>251</v>
      </c>
      <c r="I32" s="29">
        <v>45016</v>
      </c>
      <c r="J32" s="29">
        <f>EDATE(I32,K32)</f>
        <v>45688</v>
      </c>
      <c r="K32" s="28">
        <v>22</v>
      </c>
      <c r="L32" s="41">
        <f ca="1">IF(J32 &lt; TODAY(), -DATEDIF(J32, TODAY(), "M"), DATEDIF(TODAY(), J32, "M"))</f>
        <v>-15</v>
      </c>
      <c r="N32" s="5">
        <v>36</v>
      </c>
      <c r="O32" s="20">
        <v>113</v>
      </c>
      <c r="P32" s="10" t="s">
        <v>163</v>
      </c>
      <c r="Q32" s="10" t="s">
        <v>238</v>
      </c>
      <c r="R32" s="10" t="s">
        <v>312</v>
      </c>
      <c r="S32" s="10">
        <v>349</v>
      </c>
      <c r="T32" s="10" t="s">
        <v>239</v>
      </c>
      <c r="U32" s="46" t="s">
        <v>440</v>
      </c>
      <c r="V32" s="11">
        <v>45931</v>
      </c>
      <c r="W32" s="10">
        <v>92832</v>
      </c>
      <c r="X32" s="10">
        <v>47000</v>
      </c>
      <c r="Y32" s="10">
        <f t="shared" si="11"/>
        <v>139832</v>
      </c>
      <c r="Z32" s="47">
        <f t="shared" si="12"/>
        <v>44394</v>
      </c>
      <c r="AA32" s="47">
        <f t="shared" si="13"/>
        <v>5.5446808510638297</v>
      </c>
      <c r="AB32" s="48">
        <f t="shared" ref="AB32:AB40" si="14">AB31</f>
        <v>95438</v>
      </c>
    </row>
    <row r="33" spans="1:28" x14ac:dyDescent="0.3">
      <c r="A33" s="5">
        <v>33</v>
      </c>
      <c r="B33" s="34">
        <v>10</v>
      </c>
      <c r="C33" s="22" t="s">
        <v>183</v>
      </c>
      <c r="D33" s="22" t="s">
        <v>184</v>
      </c>
      <c r="E33" s="22" t="s">
        <v>309</v>
      </c>
      <c r="F33" s="22">
        <v>586</v>
      </c>
      <c r="G33" s="22" t="s">
        <v>190</v>
      </c>
      <c r="H33" s="22" t="s">
        <v>251</v>
      </c>
      <c r="I33" s="23">
        <v>45016</v>
      </c>
      <c r="J33" s="23">
        <f>EDATE(I33,K33)</f>
        <v>45688</v>
      </c>
      <c r="K33" s="22">
        <v>22</v>
      </c>
      <c r="L33" s="35">
        <f ca="1">IF(J33 &lt; TODAY(), -DATEDIF(J33, TODAY(), "M"), DATEDIF(TODAY(), J33, "M"))</f>
        <v>-15</v>
      </c>
      <c r="N33">
        <v>37</v>
      </c>
      <c r="O33" s="20">
        <v>113</v>
      </c>
      <c r="P33" s="10" t="s">
        <v>163</v>
      </c>
      <c r="Q33" s="10" t="s">
        <v>238</v>
      </c>
      <c r="R33" s="10" t="s">
        <v>312</v>
      </c>
      <c r="S33" s="10">
        <v>349</v>
      </c>
      <c r="T33" s="10" t="s">
        <v>239</v>
      </c>
      <c r="U33" s="46" t="s">
        <v>440</v>
      </c>
      <c r="V33" s="11">
        <v>45991</v>
      </c>
      <c r="W33" s="10">
        <v>93676</v>
      </c>
      <c r="X33" s="10">
        <v>25000</v>
      </c>
      <c r="Y33" s="10">
        <f t="shared" si="11"/>
        <v>118676</v>
      </c>
      <c r="Z33" s="47">
        <f t="shared" si="12"/>
        <v>23238</v>
      </c>
      <c r="AA33" s="47">
        <f t="shared" si="13"/>
        <v>7.048</v>
      </c>
      <c r="AB33" s="48">
        <f t="shared" si="14"/>
        <v>95438</v>
      </c>
    </row>
    <row r="34" spans="1:28" x14ac:dyDescent="0.3">
      <c r="A34" s="33">
        <v>34</v>
      </c>
      <c r="B34" s="34">
        <v>10</v>
      </c>
      <c r="C34" s="22" t="s">
        <v>183</v>
      </c>
      <c r="D34" s="22" t="s">
        <v>184</v>
      </c>
      <c r="E34" s="22" t="s">
        <v>309</v>
      </c>
      <c r="F34" s="22">
        <v>586</v>
      </c>
      <c r="G34" s="22" t="s">
        <v>190</v>
      </c>
      <c r="H34" s="22" t="s">
        <v>252</v>
      </c>
      <c r="I34" s="23">
        <v>45443</v>
      </c>
      <c r="J34" s="23">
        <f>EDATE(I34,K34)</f>
        <v>46112</v>
      </c>
      <c r="K34" s="22">
        <v>22</v>
      </c>
      <c r="L34" s="35">
        <f ca="1">IF(J34 &lt; TODAY(), -DATEDIF(J34, TODAY(), "M"), DATEDIF(TODAY(), J34, "M"))</f>
        <v>-1</v>
      </c>
      <c r="N34" s="5">
        <v>38</v>
      </c>
      <c r="O34" s="20">
        <v>113</v>
      </c>
      <c r="P34" s="10" t="s">
        <v>163</v>
      </c>
      <c r="Q34" s="10" t="s">
        <v>238</v>
      </c>
      <c r="R34" s="10" t="s">
        <v>312</v>
      </c>
      <c r="S34" s="10">
        <v>349</v>
      </c>
      <c r="T34" s="10" t="s">
        <v>239</v>
      </c>
      <c r="U34" s="46" t="s">
        <v>440</v>
      </c>
      <c r="V34" s="11">
        <v>45991</v>
      </c>
      <c r="W34" s="10">
        <v>93676</v>
      </c>
      <c r="X34" s="10">
        <v>25000</v>
      </c>
      <c r="Y34" s="10">
        <f t="shared" si="11"/>
        <v>118676</v>
      </c>
      <c r="Z34" s="47">
        <f t="shared" si="12"/>
        <v>23238</v>
      </c>
      <c r="AA34" s="47">
        <f t="shared" si="13"/>
        <v>7.048</v>
      </c>
      <c r="AB34" s="48">
        <f t="shared" si="14"/>
        <v>95438</v>
      </c>
    </row>
    <row r="35" spans="1:28" x14ac:dyDescent="0.3">
      <c r="A35" s="5">
        <v>35</v>
      </c>
      <c r="B35" s="36">
        <v>10</v>
      </c>
      <c r="C35" s="26" t="s">
        <v>183</v>
      </c>
      <c r="D35" s="26" t="s">
        <v>184</v>
      </c>
      <c r="E35" s="26" t="s">
        <v>309</v>
      </c>
      <c r="F35" s="26">
        <v>586</v>
      </c>
      <c r="G35" s="26" t="s">
        <v>190</v>
      </c>
      <c r="H35" s="26" t="s">
        <v>252</v>
      </c>
      <c r="I35" s="27">
        <v>45443</v>
      </c>
      <c r="J35" s="27">
        <f>EDATE(I35,K35)</f>
        <v>46112</v>
      </c>
      <c r="K35" s="26">
        <v>22</v>
      </c>
      <c r="L35" s="37">
        <f ca="1">IF(J35 &lt; TODAY(), -DATEDIF(J35, TODAY(), "M"), DATEDIF(TODAY(), J35, "M"))</f>
        <v>-1</v>
      </c>
      <c r="N35">
        <v>39</v>
      </c>
      <c r="O35" s="20">
        <v>113</v>
      </c>
      <c r="P35" s="10" t="s">
        <v>163</v>
      </c>
      <c r="Q35" s="10" t="s">
        <v>238</v>
      </c>
      <c r="R35" s="10" t="s">
        <v>312</v>
      </c>
      <c r="S35" s="10">
        <v>349</v>
      </c>
      <c r="T35" s="10" t="s">
        <v>239</v>
      </c>
      <c r="U35" s="46" t="s">
        <v>440</v>
      </c>
      <c r="V35" s="11">
        <v>45991</v>
      </c>
      <c r="W35" s="10">
        <v>93676</v>
      </c>
      <c r="X35" s="10">
        <v>25000</v>
      </c>
      <c r="Y35" s="10">
        <f t="shared" si="11"/>
        <v>118676</v>
      </c>
      <c r="Z35" s="47">
        <f t="shared" si="12"/>
        <v>23238</v>
      </c>
      <c r="AA35" s="47">
        <f t="shared" si="13"/>
        <v>7.048</v>
      </c>
      <c r="AB35" s="48">
        <f t="shared" si="14"/>
        <v>95438</v>
      </c>
    </row>
    <row r="36" spans="1:28" customFormat="1" x14ac:dyDescent="0.3">
      <c r="A36" s="5">
        <v>36</v>
      </c>
      <c r="B36" s="38" t="s">
        <v>431</v>
      </c>
      <c r="C36" s="32" t="s">
        <v>431</v>
      </c>
      <c r="D36" s="32" t="s">
        <v>431</v>
      </c>
      <c r="E36" s="32" t="s">
        <v>431</v>
      </c>
      <c r="F36" s="32" t="s">
        <v>431</v>
      </c>
      <c r="G36" s="32" t="s">
        <v>431</v>
      </c>
      <c r="H36" s="31" t="s">
        <v>431</v>
      </c>
      <c r="I36" s="32" t="s">
        <v>431</v>
      </c>
      <c r="J36" s="32" t="s">
        <v>431</v>
      </c>
      <c r="K36" s="32" t="s">
        <v>431</v>
      </c>
      <c r="L36" s="39" t="s">
        <v>431</v>
      </c>
      <c r="N36" s="5">
        <v>40</v>
      </c>
      <c r="O36" s="20">
        <v>113</v>
      </c>
      <c r="P36" s="10" t="s">
        <v>163</v>
      </c>
      <c r="Q36" s="10" t="s">
        <v>238</v>
      </c>
      <c r="R36" s="10" t="s">
        <v>312</v>
      </c>
      <c r="S36" s="10">
        <v>349</v>
      </c>
      <c r="T36" s="10" t="s">
        <v>239</v>
      </c>
      <c r="U36" s="46" t="s">
        <v>440</v>
      </c>
      <c r="V36" s="11">
        <v>45991</v>
      </c>
      <c r="W36" s="10">
        <v>93676</v>
      </c>
      <c r="X36" s="10">
        <v>25000</v>
      </c>
      <c r="Y36" s="10">
        <f t="shared" si="11"/>
        <v>118676</v>
      </c>
      <c r="Z36" s="47">
        <f t="shared" si="12"/>
        <v>23238</v>
      </c>
      <c r="AA36" s="47">
        <f t="shared" si="13"/>
        <v>7.048</v>
      </c>
      <c r="AB36" s="48">
        <f t="shared" si="14"/>
        <v>95438</v>
      </c>
    </row>
    <row r="37" spans="1:28" x14ac:dyDescent="0.3">
      <c r="A37" s="5">
        <v>37</v>
      </c>
      <c r="B37" s="40">
        <v>11</v>
      </c>
      <c r="C37" s="28" t="s">
        <v>183</v>
      </c>
      <c r="D37" s="28" t="s">
        <v>184</v>
      </c>
      <c r="E37" s="28" t="s">
        <v>309</v>
      </c>
      <c r="F37" s="28">
        <v>587</v>
      </c>
      <c r="G37" s="28" t="s">
        <v>191</v>
      </c>
      <c r="H37" s="28" t="s">
        <v>251</v>
      </c>
      <c r="I37" s="29">
        <v>46053</v>
      </c>
      <c r="J37" s="29">
        <f>EDATE(I37,K37)</f>
        <v>46783</v>
      </c>
      <c r="K37" s="28">
        <v>24</v>
      </c>
      <c r="L37" s="41">
        <f ca="1">IF(J37 &lt; TODAY(), -DATEDIF(J37, TODAY(), "M"), DATEDIF(TODAY(), J37, "M"))</f>
        <v>20</v>
      </c>
      <c r="N37">
        <v>41</v>
      </c>
      <c r="O37" s="20">
        <v>113</v>
      </c>
      <c r="P37" s="10" t="s">
        <v>163</v>
      </c>
      <c r="Q37" s="10" t="s">
        <v>238</v>
      </c>
      <c r="R37" s="10" t="s">
        <v>312</v>
      </c>
      <c r="S37" s="10">
        <v>349</v>
      </c>
      <c r="T37" s="10" t="s">
        <v>239</v>
      </c>
      <c r="U37" s="46" t="s">
        <v>440</v>
      </c>
      <c r="V37" s="11">
        <v>45991</v>
      </c>
      <c r="W37" s="10">
        <v>93676</v>
      </c>
      <c r="X37" s="10">
        <v>25000</v>
      </c>
      <c r="Y37" s="10">
        <f t="shared" si="11"/>
        <v>118676</v>
      </c>
      <c r="Z37" s="47">
        <f t="shared" si="12"/>
        <v>23238</v>
      </c>
      <c r="AA37" s="47">
        <f t="shared" si="13"/>
        <v>7.048</v>
      </c>
      <c r="AB37" s="48">
        <f t="shared" si="14"/>
        <v>95438</v>
      </c>
    </row>
    <row r="38" spans="1:28" x14ac:dyDescent="0.3">
      <c r="A38" s="33">
        <v>38</v>
      </c>
      <c r="B38" s="34">
        <v>11</v>
      </c>
      <c r="C38" s="22" t="s">
        <v>183</v>
      </c>
      <c r="D38" s="22" t="s">
        <v>184</v>
      </c>
      <c r="E38" s="22" t="s">
        <v>309</v>
      </c>
      <c r="F38" s="22">
        <v>587</v>
      </c>
      <c r="G38" s="22" t="s">
        <v>191</v>
      </c>
      <c r="H38" s="22" t="s">
        <v>251</v>
      </c>
      <c r="I38" s="23">
        <v>46053</v>
      </c>
      <c r="J38" s="23">
        <f>EDATE(I38,K38)</f>
        <v>46783</v>
      </c>
      <c r="K38" s="22">
        <v>24</v>
      </c>
      <c r="L38" s="35">
        <f ca="1">IF(J38 &lt; TODAY(), -DATEDIF(J38, TODAY(), "M"), DATEDIF(TODAY(), J38, "M"))</f>
        <v>20</v>
      </c>
      <c r="N38" s="5">
        <v>42</v>
      </c>
      <c r="O38" s="20">
        <v>113</v>
      </c>
      <c r="P38" s="10" t="s">
        <v>163</v>
      </c>
      <c r="Q38" s="10" t="s">
        <v>238</v>
      </c>
      <c r="R38" s="10" t="s">
        <v>312</v>
      </c>
      <c r="S38" s="10">
        <v>349</v>
      </c>
      <c r="T38" s="10" t="s">
        <v>239</v>
      </c>
      <c r="U38" s="46" t="s">
        <v>440</v>
      </c>
      <c r="V38" s="11">
        <v>45991</v>
      </c>
      <c r="W38" s="10">
        <v>93676</v>
      </c>
      <c r="X38" s="10">
        <v>25000</v>
      </c>
      <c r="Y38" s="10">
        <f t="shared" si="11"/>
        <v>118676</v>
      </c>
      <c r="Z38" s="47">
        <f t="shared" si="12"/>
        <v>23238</v>
      </c>
      <c r="AA38" s="47">
        <f t="shared" si="13"/>
        <v>7.048</v>
      </c>
      <c r="AB38" s="48">
        <f t="shared" si="14"/>
        <v>95438</v>
      </c>
    </row>
    <row r="39" spans="1:28" x14ac:dyDescent="0.3">
      <c r="A39" s="33">
        <v>39</v>
      </c>
      <c r="B39" s="34">
        <v>11</v>
      </c>
      <c r="C39" s="22" t="s">
        <v>183</v>
      </c>
      <c r="D39" s="22" t="s">
        <v>184</v>
      </c>
      <c r="E39" s="22" t="s">
        <v>309</v>
      </c>
      <c r="F39" s="22">
        <v>587</v>
      </c>
      <c r="G39" s="22" t="s">
        <v>191</v>
      </c>
      <c r="H39" s="22" t="s">
        <v>252</v>
      </c>
      <c r="I39" s="23">
        <v>45443</v>
      </c>
      <c r="J39" s="23">
        <f>EDATE(I39,K39)</f>
        <v>46112</v>
      </c>
      <c r="K39" s="22">
        <v>22</v>
      </c>
      <c r="L39" s="35">
        <f ca="1">IF(J39 &lt; TODAY(), -DATEDIF(J39, TODAY(), "M"), DATEDIF(TODAY(), J39, "M"))</f>
        <v>-1</v>
      </c>
      <c r="N39">
        <v>43</v>
      </c>
      <c r="O39" s="20">
        <v>113</v>
      </c>
      <c r="P39" s="10" t="s">
        <v>163</v>
      </c>
      <c r="Q39" s="10" t="s">
        <v>238</v>
      </c>
      <c r="R39" s="10" t="s">
        <v>312</v>
      </c>
      <c r="S39" s="10">
        <v>349</v>
      </c>
      <c r="T39" s="10" t="s">
        <v>239</v>
      </c>
      <c r="U39" s="46" t="s">
        <v>440</v>
      </c>
      <c r="V39" s="11">
        <v>45991</v>
      </c>
      <c r="W39" s="10">
        <v>93676</v>
      </c>
      <c r="X39" s="10">
        <v>25000</v>
      </c>
      <c r="Y39" s="10">
        <f t="shared" si="11"/>
        <v>118676</v>
      </c>
      <c r="Z39" s="47">
        <f t="shared" si="12"/>
        <v>23238</v>
      </c>
      <c r="AA39" s="47">
        <f t="shared" si="13"/>
        <v>7.048</v>
      </c>
      <c r="AB39" s="48">
        <f t="shared" si="14"/>
        <v>95438</v>
      </c>
    </row>
    <row r="40" spans="1:28" x14ac:dyDescent="0.3">
      <c r="A40" s="5">
        <v>40</v>
      </c>
      <c r="B40" s="36">
        <v>11</v>
      </c>
      <c r="C40" s="26" t="s">
        <v>183</v>
      </c>
      <c r="D40" s="26" t="s">
        <v>184</v>
      </c>
      <c r="E40" s="26" t="s">
        <v>309</v>
      </c>
      <c r="F40" s="26">
        <v>587</v>
      </c>
      <c r="G40" s="26" t="s">
        <v>191</v>
      </c>
      <c r="H40" s="26" t="s">
        <v>252</v>
      </c>
      <c r="I40" s="27">
        <v>45443</v>
      </c>
      <c r="J40" s="27">
        <f>EDATE(I40,K40)</f>
        <v>46112</v>
      </c>
      <c r="K40" s="26">
        <v>22</v>
      </c>
      <c r="L40" s="37">
        <f ca="1">IF(J40 &lt; TODAY(), -DATEDIF(J40, TODAY(), "M"), DATEDIF(TODAY(), J40, "M"))</f>
        <v>-1</v>
      </c>
      <c r="N40" s="5">
        <v>44</v>
      </c>
      <c r="O40" s="20">
        <v>113</v>
      </c>
      <c r="P40" s="10" t="s">
        <v>163</v>
      </c>
      <c r="Q40" s="10" t="s">
        <v>238</v>
      </c>
      <c r="R40" s="10" t="s">
        <v>312</v>
      </c>
      <c r="S40" s="10">
        <v>349</v>
      </c>
      <c r="T40" s="10" t="s">
        <v>239</v>
      </c>
      <c r="U40" s="46" t="s">
        <v>440</v>
      </c>
      <c r="V40" s="11">
        <v>45991</v>
      </c>
      <c r="W40" s="10">
        <v>93676</v>
      </c>
      <c r="X40" s="10">
        <v>25000</v>
      </c>
      <c r="Y40" s="10">
        <f t="shared" si="11"/>
        <v>118676</v>
      </c>
      <c r="Z40" s="47">
        <f t="shared" si="12"/>
        <v>23238</v>
      </c>
      <c r="AA40" s="47">
        <f t="shared" si="13"/>
        <v>7.048</v>
      </c>
      <c r="AB40" s="48">
        <f t="shared" si="14"/>
        <v>95438</v>
      </c>
    </row>
    <row r="41" spans="1:28" customFormat="1" x14ac:dyDescent="0.3">
      <c r="A41" s="5">
        <v>41</v>
      </c>
      <c r="B41" s="38" t="s">
        <v>431</v>
      </c>
      <c r="C41" s="32" t="s">
        <v>431</v>
      </c>
      <c r="D41" s="32" t="s">
        <v>431</v>
      </c>
      <c r="E41" s="32" t="s">
        <v>431</v>
      </c>
      <c r="F41" s="32" t="s">
        <v>431</v>
      </c>
      <c r="G41" s="32" t="s">
        <v>431</v>
      </c>
      <c r="H41" s="31" t="s">
        <v>431</v>
      </c>
      <c r="I41" s="32" t="s">
        <v>431</v>
      </c>
      <c r="J41" s="32" t="s">
        <v>431</v>
      </c>
      <c r="K41" s="32" t="s">
        <v>431</v>
      </c>
      <c r="L41" s="39" t="s">
        <v>431</v>
      </c>
      <c r="N41">
        <v>45</v>
      </c>
      <c r="O41" s="20" t="s">
        <v>431</v>
      </c>
      <c r="P41" s="10" t="s">
        <v>431</v>
      </c>
      <c r="Q41" s="10" t="s">
        <v>431</v>
      </c>
      <c r="R41" s="10" t="s">
        <v>431</v>
      </c>
      <c r="S41" s="10" t="s">
        <v>431</v>
      </c>
      <c r="T41" s="10" t="s">
        <v>431</v>
      </c>
      <c r="U41" s="10" t="s">
        <v>431</v>
      </c>
      <c r="V41" s="11" t="s">
        <v>431</v>
      </c>
      <c r="W41" s="11" t="s">
        <v>431</v>
      </c>
      <c r="X41" s="10" t="s">
        <v>431</v>
      </c>
      <c r="Y41" s="10" t="s">
        <v>431</v>
      </c>
      <c r="Z41" s="47" t="s">
        <v>431</v>
      </c>
      <c r="AA41" s="47" t="s">
        <v>431</v>
      </c>
      <c r="AB41" s="48" t="s">
        <v>431</v>
      </c>
    </row>
    <row r="42" spans="1:28" x14ac:dyDescent="0.3">
      <c r="A42" s="5">
        <v>42</v>
      </c>
      <c r="B42" s="40">
        <v>13</v>
      </c>
      <c r="C42" s="28" t="s">
        <v>250</v>
      </c>
      <c r="D42" s="28" t="s">
        <v>204</v>
      </c>
      <c r="E42" s="28" t="s">
        <v>319</v>
      </c>
      <c r="F42" s="28">
        <v>441</v>
      </c>
      <c r="G42" s="28" t="s">
        <v>205</v>
      </c>
      <c r="H42" s="28" t="s">
        <v>417</v>
      </c>
      <c r="I42" s="29">
        <v>45809</v>
      </c>
      <c r="J42" s="29">
        <f>EDATE(I42,K42)</f>
        <v>46478</v>
      </c>
      <c r="K42" s="28">
        <v>22</v>
      </c>
      <c r="L42" s="41">
        <f ca="1">IF(J42 &lt; TODAY(), -DATEDIF(J42, TODAY(), "M"), DATEDIF(TODAY(), J42, "M"))</f>
        <v>10</v>
      </c>
      <c r="N42" s="5">
        <v>46</v>
      </c>
      <c r="O42" s="20">
        <v>120</v>
      </c>
      <c r="P42" s="10" t="s">
        <v>263</v>
      </c>
      <c r="Q42" s="10" t="s">
        <v>228</v>
      </c>
      <c r="R42" s="10" t="s">
        <v>311</v>
      </c>
      <c r="S42" s="10">
        <v>744</v>
      </c>
      <c r="T42" s="10" t="s">
        <v>230</v>
      </c>
      <c r="U42" s="46" t="s">
        <v>441</v>
      </c>
      <c r="V42" s="11">
        <v>45412</v>
      </c>
      <c r="W42" s="10">
        <v>53279</v>
      </c>
      <c r="X42" s="10">
        <v>40000</v>
      </c>
      <c r="Y42" s="10">
        <f t="shared" ref="Y42:Y47" si="15">W42+X42</f>
        <v>93279</v>
      </c>
      <c r="Z42" s="47">
        <f t="shared" ref="Z42:Z47" si="16">Y42-AB42</f>
        <v>28554</v>
      </c>
      <c r="AA42" s="47">
        <f t="shared" ref="AA42:AA47" si="17">(AB42-W42)/X42*100</f>
        <v>28.615000000000002</v>
      </c>
      <c r="AB42" s="48">
        <v>64725</v>
      </c>
    </row>
    <row r="43" spans="1:28" x14ac:dyDescent="0.3">
      <c r="A43" s="33">
        <v>43</v>
      </c>
      <c r="B43" s="34">
        <v>13</v>
      </c>
      <c r="C43" s="22" t="s">
        <v>250</v>
      </c>
      <c r="D43" s="22" t="s">
        <v>204</v>
      </c>
      <c r="E43" s="22" t="s">
        <v>319</v>
      </c>
      <c r="F43" s="22">
        <v>441</v>
      </c>
      <c r="G43" s="22" t="s">
        <v>205</v>
      </c>
      <c r="H43" s="22" t="s">
        <v>417</v>
      </c>
      <c r="I43" s="23">
        <v>45809</v>
      </c>
      <c r="J43" s="23">
        <f>EDATE(I43,K43)</f>
        <v>46478</v>
      </c>
      <c r="K43" s="22">
        <v>22</v>
      </c>
      <c r="L43" s="35">
        <f ca="1">IF(J43 &lt; TODAY(), -DATEDIF(J43, TODAY(), "M"), DATEDIF(TODAY(), J43, "M"))</f>
        <v>10</v>
      </c>
      <c r="N43">
        <v>47</v>
      </c>
      <c r="O43" s="20">
        <v>120</v>
      </c>
      <c r="P43" s="10" t="s">
        <v>263</v>
      </c>
      <c r="Q43" s="10" t="s">
        <v>228</v>
      </c>
      <c r="R43" s="10" t="s">
        <v>311</v>
      </c>
      <c r="S43" s="10">
        <v>744</v>
      </c>
      <c r="T43" s="10" t="s">
        <v>230</v>
      </c>
      <c r="U43" s="46" t="s">
        <v>441</v>
      </c>
      <c r="V43" s="11">
        <v>45412</v>
      </c>
      <c r="W43" s="10">
        <v>53279</v>
      </c>
      <c r="X43" s="10">
        <v>40000</v>
      </c>
      <c r="Y43" s="10">
        <f t="shared" si="15"/>
        <v>93279</v>
      </c>
      <c r="Z43" s="47">
        <f t="shared" si="16"/>
        <v>28554</v>
      </c>
      <c r="AA43" s="47">
        <f t="shared" si="17"/>
        <v>28.615000000000002</v>
      </c>
      <c r="AB43" s="48">
        <f>AB42</f>
        <v>64725</v>
      </c>
    </row>
    <row r="44" spans="1:28" x14ac:dyDescent="0.3">
      <c r="A44" s="5">
        <v>44</v>
      </c>
      <c r="B44" s="34">
        <v>13</v>
      </c>
      <c r="C44" s="22" t="s">
        <v>250</v>
      </c>
      <c r="D44" s="22" t="s">
        <v>204</v>
      </c>
      <c r="E44" s="22" t="s">
        <v>319</v>
      </c>
      <c r="F44" s="22">
        <v>441</v>
      </c>
      <c r="G44" s="22" t="s">
        <v>205</v>
      </c>
      <c r="H44" s="22" t="s">
        <v>417</v>
      </c>
      <c r="I44" s="23">
        <v>45809</v>
      </c>
      <c r="J44" s="23">
        <f>EDATE(I44,K44)</f>
        <v>46478</v>
      </c>
      <c r="K44" s="22">
        <v>22</v>
      </c>
      <c r="L44" s="35">
        <f ca="1">IF(J44 &lt; TODAY(), -DATEDIF(J44, TODAY(), "M"), DATEDIF(TODAY(), J44, "M"))</f>
        <v>10</v>
      </c>
      <c r="N44" s="5">
        <v>48</v>
      </c>
      <c r="O44" s="20">
        <v>120</v>
      </c>
      <c r="P44" s="10" t="s">
        <v>263</v>
      </c>
      <c r="Q44" s="10" t="s">
        <v>228</v>
      </c>
      <c r="R44" s="10" t="s">
        <v>311</v>
      </c>
      <c r="S44" s="10">
        <v>744</v>
      </c>
      <c r="T44" s="10" t="s">
        <v>230</v>
      </c>
      <c r="U44" s="46" t="s">
        <v>441</v>
      </c>
      <c r="V44" s="11">
        <v>45412</v>
      </c>
      <c r="W44" s="10">
        <v>53279</v>
      </c>
      <c r="X44" s="10">
        <v>40000</v>
      </c>
      <c r="Y44" s="10">
        <f t="shared" si="15"/>
        <v>93279</v>
      </c>
      <c r="Z44" s="47">
        <f t="shared" si="16"/>
        <v>28554</v>
      </c>
      <c r="AA44" s="47">
        <f t="shared" si="17"/>
        <v>28.615000000000002</v>
      </c>
      <c r="AB44" s="48">
        <f>AB43</f>
        <v>64725</v>
      </c>
    </row>
    <row r="45" spans="1:28" x14ac:dyDescent="0.3">
      <c r="A45" s="5">
        <v>45</v>
      </c>
      <c r="B45" s="36">
        <v>13</v>
      </c>
      <c r="C45" s="26" t="s">
        <v>250</v>
      </c>
      <c r="D45" s="26" t="s">
        <v>204</v>
      </c>
      <c r="E45" s="26" t="s">
        <v>319</v>
      </c>
      <c r="F45" s="26">
        <v>441</v>
      </c>
      <c r="G45" s="26" t="s">
        <v>205</v>
      </c>
      <c r="H45" s="26" t="s">
        <v>417</v>
      </c>
      <c r="I45" s="27">
        <v>45809</v>
      </c>
      <c r="J45" s="27">
        <f>EDATE(I45,K45)</f>
        <v>46478</v>
      </c>
      <c r="K45" s="26">
        <v>22</v>
      </c>
      <c r="L45" s="37">
        <f ca="1">IF(J45 &lt; TODAY(), -DATEDIF(J45, TODAY(), "M"), DATEDIF(TODAY(), J45, "M"))</f>
        <v>10</v>
      </c>
      <c r="N45">
        <v>49</v>
      </c>
      <c r="O45" s="20">
        <v>120</v>
      </c>
      <c r="P45" s="10" t="s">
        <v>263</v>
      </c>
      <c r="Q45" s="10" t="s">
        <v>228</v>
      </c>
      <c r="R45" s="10" t="s">
        <v>311</v>
      </c>
      <c r="S45" s="10">
        <v>744</v>
      </c>
      <c r="T45" s="10" t="s">
        <v>230</v>
      </c>
      <c r="U45" s="46" t="s">
        <v>441</v>
      </c>
      <c r="V45" s="11">
        <v>45412</v>
      </c>
      <c r="W45" s="10">
        <v>53279</v>
      </c>
      <c r="X45" s="10">
        <v>40000</v>
      </c>
      <c r="Y45" s="10">
        <f t="shared" si="15"/>
        <v>93279</v>
      </c>
      <c r="Z45" s="47">
        <f t="shared" si="16"/>
        <v>28554</v>
      </c>
      <c r="AA45" s="47">
        <f t="shared" si="17"/>
        <v>28.615000000000002</v>
      </c>
      <c r="AB45" s="48">
        <f>AB44</f>
        <v>64725</v>
      </c>
    </row>
    <row r="46" spans="1:28" customFormat="1" x14ac:dyDescent="0.3">
      <c r="A46" s="33">
        <v>46</v>
      </c>
      <c r="B46" s="38" t="s">
        <v>431</v>
      </c>
      <c r="C46" s="32" t="s">
        <v>431</v>
      </c>
      <c r="D46" s="32" t="s">
        <v>431</v>
      </c>
      <c r="E46" s="32" t="s">
        <v>431</v>
      </c>
      <c r="F46" s="32" t="s">
        <v>431</v>
      </c>
      <c r="G46" s="32" t="s">
        <v>431</v>
      </c>
      <c r="H46" s="31" t="s">
        <v>431</v>
      </c>
      <c r="I46" s="32" t="s">
        <v>431</v>
      </c>
      <c r="J46" s="32" t="s">
        <v>431</v>
      </c>
      <c r="K46" s="32" t="s">
        <v>431</v>
      </c>
      <c r="L46" s="39" t="s">
        <v>431</v>
      </c>
      <c r="N46" s="5">
        <v>50</v>
      </c>
      <c r="O46" s="20">
        <v>120</v>
      </c>
      <c r="P46" s="10" t="s">
        <v>263</v>
      </c>
      <c r="Q46" s="10" t="s">
        <v>228</v>
      </c>
      <c r="R46" s="10" t="s">
        <v>311</v>
      </c>
      <c r="S46" s="10">
        <v>744</v>
      </c>
      <c r="T46" s="10" t="s">
        <v>230</v>
      </c>
      <c r="U46" s="46" t="s">
        <v>441</v>
      </c>
      <c r="V46" s="11">
        <v>45412</v>
      </c>
      <c r="W46" s="10">
        <v>53279</v>
      </c>
      <c r="X46" s="10">
        <v>40000</v>
      </c>
      <c r="Y46" s="10">
        <f t="shared" si="15"/>
        <v>93279</v>
      </c>
      <c r="Z46" s="47">
        <f t="shared" si="16"/>
        <v>28554</v>
      </c>
      <c r="AA46" s="47">
        <f t="shared" si="17"/>
        <v>28.615000000000002</v>
      </c>
      <c r="AB46" s="48">
        <f>AB45</f>
        <v>64725</v>
      </c>
    </row>
    <row r="47" spans="1:28" x14ac:dyDescent="0.3">
      <c r="A47" s="5">
        <v>47</v>
      </c>
      <c r="B47" s="40">
        <v>15</v>
      </c>
      <c r="C47" s="28" t="s">
        <v>250</v>
      </c>
      <c r="D47" s="28" t="s">
        <v>206</v>
      </c>
      <c r="E47" s="28" t="s">
        <v>319</v>
      </c>
      <c r="F47" s="28">
        <v>530</v>
      </c>
      <c r="G47" s="28" t="s">
        <v>207</v>
      </c>
      <c r="H47" s="28" t="s">
        <v>417</v>
      </c>
      <c r="I47" s="29">
        <v>45443</v>
      </c>
      <c r="J47" s="29">
        <f>EDATE(I47,K47)</f>
        <v>46112</v>
      </c>
      <c r="K47" s="28">
        <v>22</v>
      </c>
      <c r="L47" s="41">
        <f ca="1">IF(J47 &lt; TODAY(), -DATEDIF(J47, TODAY(), "M"), DATEDIF(TODAY(), J47, "M"))</f>
        <v>-1</v>
      </c>
      <c r="N47">
        <v>51</v>
      </c>
      <c r="O47" s="20">
        <v>120</v>
      </c>
      <c r="P47" s="10" t="s">
        <v>263</v>
      </c>
      <c r="Q47" s="10" t="s">
        <v>228</v>
      </c>
      <c r="R47" s="10" t="s">
        <v>311</v>
      </c>
      <c r="S47" s="10">
        <v>744</v>
      </c>
      <c r="T47" s="10" t="s">
        <v>230</v>
      </c>
      <c r="U47" s="46" t="s">
        <v>441</v>
      </c>
      <c r="V47" s="11">
        <v>45412</v>
      </c>
      <c r="W47" s="10">
        <v>53279</v>
      </c>
      <c r="X47" s="10">
        <v>40000</v>
      </c>
      <c r="Y47" s="10">
        <f t="shared" si="15"/>
        <v>93279</v>
      </c>
      <c r="Z47" s="47">
        <f t="shared" si="16"/>
        <v>28554</v>
      </c>
      <c r="AA47" s="47">
        <f t="shared" si="17"/>
        <v>28.615000000000002</v>
      </c>
      <c r="AB47" s="48">
        <f>AB46</f>
        <v>64725</v>
      </c>
    </row>
    <row r="48" spans="1:28" x14ac:dyDescent="0.3">
      <c r="A48" s="5">
        <v>48</v>
      </c>
      <c r="B48" s="34">
        <v>15</v>
      </c>
      <c r="C48" s="22" t="s">
        <v>250</v>
      </c>
      <c r="D48" s="22" t="s">
        <v>206</v>
      </c>
      <c r="E48" s="22" t="s">
        <v>319</v>
      </c>
      <c r="F48" s="22">
        <v>530</v>
      </c>
      <c r="G48" s="22" t="s">
        <v>207</v>
      </c>
      <c r="H48" s="22" t="s">
        <v>417</v>
      </c>
      <c r="I48" s="23">
        <v>45443</v>
      </c>
      <c r="J48" s="23">
        <f>EDATE(I48,K48)</f>
        <v>46112</v>
      </c>
      <c r="K48" s="22">
        <v>22</v>
      </c>
      <c r="L48" s="35">
        <f ca="1">IF(J48 &lt; TODAY(), -DATEDIF(J48, TODAY(), "M"), DATEDIF(TODAY(), J48, "M"))</f>
        <v>-1</v>
      </c>
      <c r="N48" s="5">
        <v>52</v>
      </c>
      <c r="O48" s="20" t="s">
        <v>431</v>
      </c>
      <c r="P48" s="10" t="s">
        <v>431</v>
      </c>
      <c r="Q48" s="10" t="s">
        <v>431</v>
      </c>
      <c r="R48" s="10" t="s">
        <v>431</v>
      </c>
      <c r="S48" s="10" t="s">
        <v>431</v>
      </c>
      <c r="T48" s="10" t="s">
        <v>431</v>
      </c>
      <c r="U48" s="10" t="s">
        <v>431</v>
      </c>
      <c r="V48" s="11" t="s">
        <v>431</v>
      </c>
      <c r="W48" s="11" t="s">
        <v>431</v>
      </c>
      <c r="X48" s="10" t="s">
        <v>431</v>
      </c>
      <c r="Y48" s="10" t="s">
        <v>431</v>
      </c>
      <c r="Z48" s="47" t="s">
        <v>431</v>
      </c>
      <c r="AA48" s="47" t="s">
        <v>431</v>
      </c>
      <c r="AB48" s="48" t="s">
        <v>431</v>
      </c>
    </row>
    <row r="49" spans="1:28" x14ac:dyDescent="0.3">
      <c r="A49" s="33">
        <v>49</v>
      </c>
      <c r="B49" s="34">
        <v>15</v>
      </c>
      <c r="C49" s="22" t="s">
        <v>250</v>
      </c>
      <c r="D49" s="22" t="s">
        <v>206</v>
      </c>
      <c r="E49" s="22" t="s">
        <v>319</v>
      </c>
      <c r="F49" s="22">
        <v>530</v>
      </c>
      <c r="G49" s="22" t="s">
        <v>207</v>
      </c>
      <c r="H49" s="22" t="s">
        <v>417</v>
      </c>
      <c r="I49" s="23">
        <v>45443</v>
      </c>
      <c r="J49" s="23">
        <f>EDATE(I49,K49)</f>
        <v>46112</v>
      </c>
      <c r="K49" s="22">
        <v>22</v>
      </c>
      <c r="L49" s="35">
        <f ca="1">IF(J49 &lt; TODAY(), -DATEDIF(J49, TODAY(), "M"), DATEDIF(TODAY(), J49, "M"))</f>
        <v>-1</v>
      </c>
      <c r="N49">
        <v>53</v>
      </c>
      <c r="O49" s="20">
        <v>121</v>
      </c>
      <c r="P49" s="10" t="s">
        <v>263</v>
      </c>
      <c r="Q49" s="10" t="s">
        <v>228</v>
      </c>
      <c r="R49" s="10" t="s">
        <v>311</v>
      </c>
      <c r="S49" s="10">
        <v>767</v>
      </c>
      <c r="T49" s="10" t="s">
        <v>233</v>
      </c>
      <c r="U49" s="46" t="s">
        <v>441</v>
      </c>
      <c r="V49" s="11">
        <v>45260</v>
      </c>
      <c r="W49" s="10">
        <v>61706</v>
      </c>
      <c r="X49" s="10">
        <v>40000</v>
      </c>
      <c r="Y49" s="10">
        <f t="shared" ref="Y49:Y54" si="18">W49+X49</f>
        <v>101706</v>
      </c>
      <c r="Z49" s="47">
        <f t="shared" ref="Z49:Z54" si="19">Y49-AB49</f>
        <v>22946</v>
      </c>
      <c r="AA49" s="47">
        <f t="shared" ref="AA49:AA54" si="20">(AB49-W49)/X49*100</f>
        <v>42.634999999999998</v>
      </c>
      <c r="AB49" s="48">
        <v>78760</v>
      </c>
    </row>
    <row r="50" spans="1:28" x14ac:dyDescent="0.3">
      <c r="A50" s="5">
        <v>50</v>
      </c>
      <c r="B50" s="36">
        <v>15</v>
      </c>
      <c r="C50" s="26" t="s">
        <v>250</v>
      </c>
      <c r="D50" s="26" t="s">
        <v>206</v>
      </c>
      <c r="E50" s="26" t="s">
        <v>319</v>
      </c>
      <c r="F50" s="26">
        <v>530</v>
      </c>
      <c r="G50" s="26" t="s">
        <v>207</v>
      </c>
      <c r="H50" s="26" t="s">
        <v>417</v>
      </c>
      <c r="I50" s="27">
        <v>45443</v>
      </c>
      <c r="J50" s="27">
        <f>EDATE(I50,K50)</f>
        <v>46112</v>
      </c>
      <c r="K50" s="26">
        <v>22</v>
      </c>
      <c r="L50" s="37">
        <f ca="1">IF(J50 &lt; TODAY(), -DATEDIF(J50, TODAY(), "M"), DATEDIF(TODAY(), J50, "M"))</f>
        <v>-1</v>
      </c>
      <c r="N50" s="5">
        <v>54</v>
      </c>
      <c r="O50" s="20">
        <v>121</v>
      </c>
      <c r="P50" s="10" t="s">
        <v>263</v>
      </c>
      <c r="Q50" s="10" t="s">
        <v>228</v>
      </c>
      <c r="R50" s="10" t="s">
        <v>311</v>
      </c>
      <c r="S50" s="10">
        <v>767</v>
      </c>
      <c r="T50" s="10" t="s">
        <v>233</v>
      </c>
      <c r="U50" s="46" t="s">
        <v>441</v>
      </c>
      <c r="V50" s="11">
        <v>45260</v>
      </c>
      <c r="W50" s="10">
        <v>61706</v>
      </c>
      <c r="X50" s="10">
        <v>40000</v>
      </c>
      <c r="Y50" s="10">
        <f t="shared" si="18"/>
        <v>101706</v>
      </c>
      <c r="Z50" s="47">
        <f t="shared" si="19"/>
        <v>22946</v>
      </c>
      <c r="AA50" s="47">
        <f t="shared" si="20"/>
        <v>42.634999999999998</v>
      </c>
      <c r="AB50" s="48">
        <f>AB49</f>
        <v>78760</v>
      </c>
    </row>
    <row r="51" spans="1:28" customFormat="1" x14ac:dyDescent="0.3">
      <c r="A51" s="5">
        <v>51</v>
      </c>
      <c r="B51" s="38" t="s">
        <v>431</v>
      </c>
      <c r="C51" s="32" t="s">
        <v>431</v>
      </c>
      <c r="D51" s="32" t="s">
        <v>431</v>
      </c>
      <c r="E51" s="32" t="s">
        <v>431</v>
      </c>
      <c r="F51" s="32" t="s">
        <v>431</v>
      </c>
      <c r="G51" s="32" t="s">
        <v>431</v>
      </c>
      <c r="H51" s="31" t="s">
        <v>431</v>
      </c>
      <c r="I51" s="32" t="s">
        <v>431</v>
      </c>
      <c r="J51" s="32" t="s">
        <v>431</v>
      </c>
      <c r="K51" s="32" t="s">
        <v>431</v>
      </c>
      <c r="L51" s="39" t="s">
        <v>431</v>
      </c>
      <c r="N51">
        <v>55</v>
      </c>
      <c r="O51" s="20">
        <v>121</v>
      </c>
      <c r="P51" s="10" t="s">
        <v>263</v>
      </c>
      <c r="Q51" s="10" t="s">
        <v>228</v>
      </c>
      <c r="R51" s="10" t="s">
        <v>311</v>
      </c>
      <c r="S51" s="10">
        <v>767</v>
      </c>
      <c r="T51" s="10" t="s">
        <v>233</v>
      </c>
      <c r="U51" s="46" t="s">
        <v>441</v>
      </c>
      <c r="V51" s="11">
        <v>45260</v>
      </c>
      <c r="W51" s="10">
        <v>61706</v>
      </c>
      <c r="X51" s="10">
        <v>40000</v>
      </c>
      <c r="Y51" s="10">
        <f t="shared" si="18"/>
        <v>101706</v>
      </c>
      <c r="Z51" s="47">
        <f t="shared" si="19"/>
        <v>22946</v>
      </c>
      <c r="AA51" s="47">
        <f t="shared" si="20"/>
        <v>42.634999999999998</v>
      </c>
      <c r="AB51" s="48">
        <f>AB50</f>
        <v>78760</v>
      </c>
    </row>
    <row r="52" spans="1:28" x14ac:dyDescent="0.3">
      <c r="A52" s="33">
        <v>52</v>
      </c>
      <c r="B52" s="40">
        <v>16</v>
      </c>
      <c r="C52" s="28" t="s">
        <v>211</v>
      </c>
      <c r="D52" s="28" t="s">
        <v>206</v>
      </c>
      <c r="E52" s="28" t="s">
        <v>319</v>
      </c>
      <c r="F52" s="28">
        <v>317</v>
      </c>
      <c r="G52" s="28" t="s">
        <v>210</v>
      </c>
      <c r="H52" s="28" t="s">
        <v>417</v>
      </c>
      <c r="I52" s="29">
        <v>43586</v>
      </c>
      <c r="J52" s="29">
        <f>EDATE(I52,K52)</f>
        <v>44256</v>
      </c>
      <c r="K52" s="28">
        <v>22</v>
      </c>
      <c r="L52" s="41">
        <f ca="1">IF(J52 &lt; TODAY(), -DATEDIF(J52, TODAY(), "M"), DATEDIF(TODAY(), J52, "M"))</f>
        <v>-62</v>
      </c>
      <c r="N52">
        <v>56</v>
      </c>
      <c r="O52" s="20">
        <v>121</v>
      </c>
      <c r="P52" s="10" t="s">
        <v>263</v>
      </c>
      <c r="Q52" s="10" t="s">
        <v>228</v>
      </c>
      <c r="R52" s="10" t="s">
        <v>311</v>
      </c>
      <c r="S52" s="10">
        <v>767</v>
      </c>
      <c r="T52" s="10" t="s">
        <v>233</v>
      </c>
      <c r="U52" s="46" t="s">
        <v>441</v>
      </c>
      <c r="V52" s="11">
        <v>45260</v>
      </c>
      <c r="W52" s="10">
        <v>61706</v>
      </c>
      <c r="X52" s="10">
        <v>40000</v>
      </c>
      <c r="Y52" s="10">
        <f t="shared" si="18"/>
        <v>101706</v>
      </c>
      <c r="Z52" s="47">
        <f t="shared" si="19"/>
        <v>22946</v>
      </c>
      <c r="AA52" s="47">
        <f t="shared" si="20"/>
        <v>42.634999999999998</v>
      </c>
      <c r="AB52" s="48">
        <f>AB51</f>
        <v>78760</v>
      </c>
    </row>
    <row r="53" spans="1:28" x14ac:dyDescent="0.3">
      <c r="A53" s="5">
        <v>53</v>
      </c>
      <c r="B53" s="34">
        <v>16</v>
      </c>
      <c r="C53" s="22" t="s">
        <v>211</v>
      </c>
      <c r="D53" s="22" t="s">
        <v>206</v>
      </c>
      <c r="E53" s="22" t="s">
        <v>319</v>
      </c>
      <c r="F53" s="22">
        <v>317</v>
      </c>
      <c r="G53" s="22" t="s">
        <v>210</v>
      </c>
      <c r="H53" s="22" t="s">
        <v>417</v>
      </c>
      <c r="I53" s="23">
        <v>43586</v>
      </c>
      <c r="J53" s="23">
        <f>EDATE(I53,K53)</f>
        <v>44256</v>
      </c>
      <c r="K53" s="22">
        <v>22</v>
      </c>
      <c r="L53" s="35">
        <f ca="1">IF(J53 &lt; TODAY(), -DATEDIF(J53, TODAY(), "M"), DATEDIF(TODAY(), J53, "M"))</f>
        <v>-62</v>
      </c>
      <c r="N53">
        <v>57</v>
      </c>
      <c r="O53" s="20">
        <v>121</v>
      </c>
      <c r="P53" s="10" t="s">
        <v>263</v>
      </c>
      <c r="Q53" s="10" t="s">
        <v>228</v>
      </c>
      <c r="R53" s="10" t="s">
        <v>311</v>
      </c>
      <c r="S53" s="10">
        <v>767</v>
      </c>
      <c r="T53" s="10" t="s">
        <v>233</v>
      </c>
      <c r="U53" s="46" t="s">
        <v>441</v>
      </c>
      <c r="V53" s="11">
        <v>45260</v>
      </c>
      <c r="W53" s="10">
        <v>61706</v>
      </c>
      <c r="X53" s="10">
        <v>40000</v>
      </c>
      <c r="Y53" s="10">
        <f t="shared" si="18"/>
        <v>101706</v>
      </c>
      <c r="Z53" s="47">
        <f t="shared" si="19"/>
        <v>22946</v>
      </c>
      <c r="AA53" s="47">
        <f t="shared" si="20"/>
        <v>42.634999999999998</v>
      </c>
      <c r="AB53" s="48">
        <f>AB52</f>
        <v>78760</v>
      </c>
    </row>
    <row r="54" spans="1:28" x14ac:dyDescent="0.3">
      <c r="A54" s="5">
        <v>54</v>
      </c>
      <c r="B54" s="34">
        <v>16</v>
      </c>
      <c r="C54" s="22" t="s">
        <v>211</v>
      </c>
      <c r="D54" s="22" t="s">
        <v>206</v>
      </c>
      <c r="E54" s="22" t="s">
        <v>319</v>
      </c>
      <c r="F54" s="22">
        <v>317</v>
      </c>
      <c r="G54" s="22" t="s">
        <v>210</v>
      </c>
      <c r="H54" s="22" t="s">
        <v>417</v>
      </c>
      <c r="I54" s="23">
        <v>43586</v>
      </c>
      <c r="J54" s="23">
        <f>EDATE(I54,K54)</f>
        <v>44256</v>
      </c>
      <c r="K54" s="22">
        <v>22</v>
      </c>
      <c r="L54" s="35">
        <f ca="1">IF(J54 &lt; TODAY(), -DATEDIF(J54, TODAY(), "M"), DATEDIF(TODAY(), J54, "M"))</f>
        <v>-62</v>
      </c>
      <c r="N54" s="5">
        <v>58</v>
      </c>
      <c r="O54" s="20">
        <v>121</v>
      </c>
      <c r="P54" s="10" t="s">
        <v>263</v>
      </c>
      <c r="Q54" s="10" t="s">
        <v>228</v>
      </c>
      <c r="R54" s="10" t="s">
        <v>311</v>
      </c>
      <c r="S54" s="10">
        <v>767</v>
      </c>
      <c r="T54" s="10" t="s">
        <v>233</v>
      </c>
      <c r="U54" s="46" t="s">
        <v>441</v>
      </c>
      <c r="V54" s="11">
        <v>45260</v>
      </c>
      <c r="W54" s="10">
        <v>61706</v>
      </c>
      <c r="X54" s="10">
        <v>40000</v>
      </c>
      <c r="Y54" s="10">
        <f t="shared" si="18"/>
        <v>101706</v>
      </c>
      <c r="Z54" s="47">
        <f t="shared" si="19"/>
        <v>22946</v>
      </c>
      <c r="AA54" s="47">
        <f t="shared" si="20"/>
        <v>42.634999999999998</v>
      </c>
      <c r="AB54" s="48">
        <f>AB53</f>
        <v>78760</v>
      </c>
    </row>
    <row r="55" spans="1:28" x14ac:dyDescent="0.3">
      <c r="A55" s="33">
        <v>55</v>
      </c>
      <c r="B55" s="36">
        <v>16</v>
      </c>
      <c r="C55" s="26" t="s">
        <v>211</v>
      </c>
      <c r="D55" s="26" t="s">
        <v>206</v>
      </c>
      <c r="E55" s="26" t="s">
        <v>319</v>
      </c>
      <c r="F55" s="26">
        <v>317</v>
      </c>
      <c r="G55" s="26" t="s">
        <v>210</v>
      </c>
      <c r="H55" s="26" t="s">
        <v>417</v>
      </c>
      <c r="I55" s="27">
        <v>43586</v>
      </c>
      <c r="J55" s="27">
        <f>EDATE(I55,K55)</f>
        <v>44256</v>
      </c>
      <c r="K55" s="26">
        <v>22</v>
      </c>
      <c r="L55" s="37">
        <f ca="1">IF(J55 &lt; TODAY(), -DATEDIF(J55, TODAY(), "M"), DATEDIF(TODAY(), J55, "M"))</f>
        <v>-62</v>
      </c>
      <c r="N55">
        <v>59</v>
      </c>
      <c r="O55" s="20" t="s">
        <v>431</v>
      </c>
      <c r="P55" s="10" t="s">
        <v>431</v>
      </c>
      <c r="Q55" s="10" t="s">
        <v>431</v>
      </c>
      <c r="R55" s="10" t="s">
        <v>431</v>
      </c>
      <c r="S55" s="10" t="s">
        <v>431</v>
      </c>
      <c r="T55" s="10" t="s">
        <v>431</v>
      </c>
      <c r="U55" s="10" t="s">
        <v>431</v>
      </c>
      <c r="V55" s="11" t="s">
        <v>431</v>
      </c>
      <c r="W55" s="11" t="s">
        <v>431</v>
      </c>
      <c r="X55" s="10" t="s">
        <v>431</v>
      </c>
      <c r="Y55" s="10" t="s">
        <v>431</v>
      </c>
      <c r="Z55" s="47" t="s">
        <v>431</v>
      </c>
      <c r="AA55" s="47" t="s">
        <v>431</v>
      </c>
      <c r="AB55" s="48" t="s">
        <v>431</v>
      </c>
    </row>
    <row r="56" spans="1:28" customFormat="1" x14ac:dyDescent="0.3">
      <c r="A56" s="5">
        <v>56</v>
      </c>
      <c r="B56" s="38" t="s">
        <v>431</v>
      </c>
      <c r="C56" s="32" t="s">
        <v>431</v>
      </c>
      <c r="D56" s="32" t="s">
        <v>431</v>
      </c>
      <c r="E56" s="32" t="s">
        <v>431</v>
      </c>
      <c r="F56" s="32" t="s">
        <v>431</v>
      </c>
      <c r="G56" s="32" t="s">
        <v>431</v>
      </c>
      <c r="H56" s="31" t="s">
        <v>431</v>
      </c>
      <c r="I56" s="32" t="s">
        <v>431</v>
      </c>
      <c r="J56" s="32" t="s">
        <v>431</v>
      </c>
      <c r="K56" s="32" t="s">
        <v>431</v>
      </c>
      <c r="L56" s="39" t="s">
        <v>431</v>
      </c>
      <c r="N56" s="5">
        <v>60</v>
      </c>
      <c r="O56" s="20">
        <v>122</v>
      </c>
      <c r="P56" s="10" t="s">
        <v>263</v>
      </c>
      <c r="Q56" s="10" t="s">
        <v>228</v>
      </c>
      <c r="R56" s="10" t="s">
        <v>311</v>
      </c>
      <c r="S56" s="10">
        <v>741</v>
      </c>
      <c r="T56" s="10" t="s">
        <v>229</v>
      </c>
      <c r="U56" s="46" t="s">
        <v>441</v>
      </c>
      <c r="V56" s="11">
        <v>45535</v>
      </c>
      <c r="W56" s="10">
        <v>55836</v>
      </c>
      <c r="X56" s="10">
        <v>40000</v>
      </c>
      <c r="Y56" s="10">
        <f t="shared" ref="Y56:Y61" si="21">W56+X56</f>
        <v>95836</v>
      </c>
      <c r="Z56" s="47">
        <f t="shared" ref="Z56:Z61" si="22">Y56-AB56</f>
        <v>30362</v>
      </c>
      <c r="AA56" s="47">
        <f t="shared" ref="AA56:AA61" si="23">(AB56-W56)/X56*100</f>
        <v>24.094999999999999</v>
      </c>
      <c r="AB56" s="48">
        <v>65474</v>
      </c>
    </row>
    <row r="57" spans="1:28" x14ac:dyDescent="0.3">
      <c r="A57" s="5">
        <v>57</v>
      </c>
      <c r="B57" s="40">
        <v>17</v>
      </c>
      <c r="C57" s="28" t="s">
        <v>274</v>
      </c>
      <c r="D57" s="28" t="s">
        <v>303</v>
      </c>
      <c r="E57" s="28" t="s">
        <v>363</v>
      </c>
      <c r="F57" s="28">
        <v>144</v>
      </c>
      <c r="G57" s="28" t="s">
        <v>304</v>
      </c>
      <c r="H57" s="28" t="s">
        <v>418</v>
      </c>
      <c r="I57" s="29">
        <v>45809</v>
      </c>
      <c r="J57" s="29">
        <f>EDATE(I57,K57)</f>
        <v>46478</v>
      </c>
      <c r="K57" s="28">
        <v>22</v>
      </c>
      <c r="L57" s="41">
        <f ca="1">IF(J57 &lt; TODAY(), -DATEDIF(J57, TODAY(), "M"), DATEDIF(TODAY(), J57, "M"))</f>
        <v>10</v>
      </c>
      <c r="N57">
        <v>61</v>
      </c>
      <c r="O57" s="20">
        <v>122</v>
      </c>
      <c r="P57" s="10" t="s">
        <v>263</v>
      </c>
      <c r="Q57" s="10" t="s">
        <v>228</v>
      </c>
      <c r="R57" s="10" t="s">
        <v>311</v>
      </c>
      <c r="S57" s="10">
        <v>741</v>
      </c>
      <c r="T57" s="10" t="s">
        <v>229</v>
      </c>
      <c r="U57" s="46" t="s">
        <v>441</v>
      </c>
      <c r="V57" s="11">
        <v>45535</v>
      </c>
      <c r="W57" s="10">
        <v>55836</v>
      </c>
      <c r="X57" s="10">
        <v>40000</v>
      </c>
      <c r="Y57" s="10">
        <f t="shared" si="21"/>
        <v>95836</v>
      </c>
      <c r="Z57" s="47">
        <f t="shared" si="22"/>
        <v>30362</v>
      </c>
      <c r="AA57" s="47">
        <f t="shared" si="23"/>
        <v>24.094999999999999</v>
      </c>
      <c r="AB57" s="48">
        <f>AB56</f>
        <v>65474</v>
      </c>
    </row>
    <row r="58" spans="1:28" x14ac:dyDescent="0.3">
      <c r="A58" s="33">
        <v>58</v>
      </c>
      <c r="B58" s="34">
        <v>17</v>
      </c>
      <c r="C58" s="22" t="s">
        <v>274</v>
      </c>
      <c r="D58" s="22" t="s">
        <v>303</v>
      </c>
      <c r="E58" s="22" t="s">
        <v>363</v>
      </c>
      <c r="F58" s="22">
        <v>144</v>
      </c>
      <c r="G58" s="22" t="s">
        <v>304</v>
      </c>
      <c r="H58" s="22" t="s">
        <v>418</v>
      </c>
      <c r="I58" s="23">
        <v>45809</v>
      </c>
      <c r="J58" s="23">
        <f>EDATE(I58,K58)</f>
        <v>46478</v>
      </c>
      <c r="K58" s="22">
        <v>22</v>
      </c>
      <c r="L58" s="35">
        <f ca="1">IF(J58 &lt; TODAY(), -DATEDIF(J58, TODAY(), "M"), DATEDIF(TODAY(), J58, "M"))</f>
        <v>10</v>
      </c>
      <c r="N58" s="5">
        <v>62</v>
      </c>
      <c r="O58" s="20">
        <v>122</v>
      </c>
      <c r="P58" s="10" t="s">
        <v>263</v>
      </c>
      <c r="Q58" s="10" t="s">
        <v>228</v>
      </c>
      <c r="R58" s="10" t="s">
        <v>311</v>
      </c>
      <c r="S58" s="10">
        <v>741</v>
      </c>
      <c r="T58" s="10" t="s">
        <v>229</v>
      </c>
      <c r="U58" s="46" t="s">
        <v>441</v>
      </c>
      <c r="V58" s="11">
        <v>45535</v>
      </c>
      <c r="W58" s="10">
        <v>55836</v>
      </c>
      <c r="X58" s="10">
        <v>40000</v>
      </c>
      <c r="Y58" s="10">
        <f t="shared" si="21"/>
        <v>95836</v>
      </c>
      <c r="Z58" s="47">
        <f t="shared" si="22"/>
        <v>30362</v>
      </c>
      <c r="AA58" s="47">
        <f t="shared" si="23"/>
        <v>24.094999999999999</v>
      </c>
      <c r="AB58" s="48">
        <f>AB57</f>
        <v>65474</v>
      </c>
    </row>
    <row r="59" spans="1:28" x14ac:dyDescent="0.3">
      <c r="A59" s="5">
        <v>59</v>
      </c>
      <c r="B59" s="34">
        <v>17</v>
      </c>
      <c r="C59" s="22" t="s">
        <v>274</v>
      </c>
      <c r="D59" s="22" t="s">
        <v>303</v>
      </c>
      <c r="E59" s="22" t="s">
        <v>363</v>
      </c>
      <c r="F59" s="22">
        <v>144</v>
      </c>
      <c r="G59" s="22" t="s">
        <v>304</v>
      </c>
      <c r="H59" s="22" t="s">
        <v>418</v>
      </c>
      <c r="I59" s="23">
        <v>45809</v>
      </c>
      <c r="J59" s="23">
        <f>EDATE(I59,K59)</f>
        <v>46478</v>
      </c>
      <c r="K59" s="22">
        <v>22</v>
      </c>
      <c r="L59" s="35">
        <f ca="1">IF(J59 &lt; TODAY(), -DATEDIF(J59, TODAY(), "M"), DATEDIF(TODAY(), J59, "M"))</f>
        <v>10</v>
      </c>
      <c r="N59">
        <v>63</v>
      </c>
      <c r="O59" s="20">
        <v>122</v>
      </c>
      <c r="P59" s="10" t="s">
        <v>263</v>
      </c>
      <c r="Q59" s="10" t="s">
        <v>228</v>
      </c>
      <c r="R59" s="10" t="s">
        <v>311</v>
      </c>
      <c r="S59" s="10">
        <v>741</v>
      </c>
      <c r="T59" s="10" t="s">
        <v>229</v>
      </c>
      <c r="U59" s="46" t="s">
        <v>441</v>
      </c>
      <c r="V59" s="11">
        <v>45535</v>
      </c>
      <c r="W59" s="10">
        <v>55836</v>
      </c>
      <c r="X59" s="10">
        <v>40000</v>
      </c>
      <c r="Y59" s="10">
        <f t="shared" si="21"/>
        <v>95836</v>
      </c>
      <c r="Z59" s="47">
        <f t="shared" si="22"/>
        <v>30362</v>
      </c>
      <c r="AA59" s="47">
        <f t="shared" si="23"/>
        <v>24.094999999999999</v>
      </c>
      <c r="AB59" s="48">
        <f>AB58</f>
        <v>65474</v>
      </c>
    </row>
    <row r="60" spans="1:28" x14ac:dyDescent="0.3">
      <c r="A60" s="5">
        <v>60</v>
      </c>
      <c r="B60" s="36">
        <v>17</v>
      </c>
      <c r="C60" s="26" t="s">
        <v>274</v>
      </c>
      <c r="D60" s="26" t="s">
        <v>303</v>
      </c>
      <c r="E60" s="26" t="s">
        <v>363</v>
      </c>
      <c r="F60" s="26">
        <v>144</v>
      </c>
      <c r="G60" s="26" t="s">
        <v>304</v>
      </c>
      <c r="H60" s="26" t="s">
        <v>418</v>
      </c>
      <c r="I60" s="27">
        <v>45809</v>
      </c>
      <c r="J60" s="27">
        <f>EDATE(I60,K60)</f>
        <v>46478</v>
      </c>
      <c r="K60" s="26">
        <v>22</v>
      </c>
      <c r="L60" s="37">
        <f ca="1">IF(J60 &lt; TODAY(), -DATEDIF(J60, TODAY(), "M"), DATEDIF(TODAY(), J60, "M"))</f>
        <v>10</v>
      </c>
      <c r="N60" s="5">
        <v>64</v>
      </c>
      <c r="O60" s="20">
        <v>122</v>
      </c>
      <c r="P60" s="10" t="s">
        <v>263</v>
      </c>
      <c r="Q60" s="10" t="s">
        <v>228</v>
      </c>
      <c r="R60" s="10" t="s">
        <v>311</v>
      </c>
      <c r="S60" s="10">
        <v>741</v>
      </c>
      <c r="T60" s="10" t="s">
        <v>229</v>
      </c>
      <c r="U60" s="46" t="s">
        <v>441</v>
      </c>
      <c r="V60" s="11">
        <v>45535</v>
      </c>
      <c r="W60" s="10">
        <v>55836</v>
      </c>
      <c r="X60" s="10">
        <v>40000</v>
      </c>
      <c r="Y60" s="10">
        <f t="shared" si="21"/>
        <v>95836</v>
      </c>
      <c r="Z60" s="47">
        <f t="shared" si="22"/>
        <v>30362</v>
      </c>
      <c r="AA60" s="47">
        <f t="shared" si="23"/>
        <v>24.094999999999999</v>
      </c>
      <c r="AB60" s="48">
        <f>AB59</f>
        <v>65474</v>
      </c>
    </row>
    <row r="61" spans="1:28" customFormat="1" x14ac:dyDescent="0.3">
      <c r="A61" s="33">
        <v>61</v>
      </c>
      <c r="B61" s="38" t="s">
        <v>431</v>
      </c>
      <c r="C61" s="32" t="s">
        <v>431</v>
      </c>
      <c r="D61" s="32" t="s">
        <v>431</v>
      </c>
      <c r="E61" s="32" t="s">
        <v>431</v>
      </c>
      <c r="F61" s="32" t="s">
        <v>431</v>
      </c>
      <c r="G61" s="32" t="s">
        <v>431</v>
      </c>
      <c r="H61" s="31" t="s">
        <v>431</v>
      </c>
      <c r="I61" s="32" t="s">
        <v>431</v>
      </c>
      <c r="J61" s="32" t="s">
        <v>431</v>
      </c>
      <c r="K61" s="32" t="s">
        <v>431</v>
      </c>
      <c r="L61" s="39" t="s">
        <v>431</v>
      </c>
      <c r="N61">
        <v>65</v>
      </c>
      <c r="O61" s="20">
        <v>122</v>
      </c>
      <c r="P61" s="10" t="s">
        <v>263</v>
      </c>
      <c r="Q61" s="10" t="s">
        <v>228</v>
      </c>
      <c r="R61" s="10" t="s">
        <v>311</v>
      </c>
      <c r="S61" s="10">
        <v>741</v>
      </c>
      <c r="T61" s="10" t="s">
        <v>229</v>
      </c>
      <c r="U61" s="46" t="s">
        <v>441</v>
      </c>
      <c r="V61" s="11">
        <v>45535</v>
      </c>
      <c r="W61" s="10">
        <v>55836</v>
      </c>
      <c r="X61" s="10">
        <v>40000</v>
      </c>
      <c r="Y61" s="10">
        <f t="shared" si="21"/>
        <v>95836</v>
      </c>
      <c r="Z61" s="47">
        <f t="shared" si="22"/>
        <v>30362</v>
      </c>
      <c r="AA61" s="47">
        <f t="shared" si="23"/>
        <v>24.094999999999999</v>
      </c>
      <c r="AB61" s="48">
        <f>AB60</f>
        <v>65474</v>
      </c>
    </row>
    <row r="62" spans="1:28" x14ac:dyDescent="0.3">
      <c r="A62" s="5">
        <v>62</v>
      </c>
      <c r="B62" s="40">
        <v>19</v>
      </c>
      <c r="C62" s="28" t="s">
        <v>274</v>
      </c>
      <c r="D62" s="28" t="s">
        <v>303</v>
      </c>
      <c r="E62" s="28" t="s">
        <v>363</v>
      </c>
      <c r="F62" s="28">
        <v>142</v>
      </c>
      <c r="G62" s="28" t="s">
        <v>305</v>
      </c>
      <c r="H62" s="28" t="s">
        <v>418</v>
      </c>
      <c r="I62" s="29">
        <v>45504</v>
      </c>
      <c r="J62" s="29">
        <f>EDATE(I62,K62)</f>
        <v>46173</v>
      </c>
      <c r="K62" s="28">
        <v>22</v>
      </c>
      <c r="L62" s="41">
        <f ca="1">IF(J62 &lt; TODAY(), -DATEDIF(J62, TODAY(), "M"), DATEDIF(TODAY(), J62, "M"))</f>
        <v>0</v>
      </c>
      <c r="N62" s="5">
        <v>66</v>
      </c>
      <c r="O62" s="20" t="s">
        <v>431</v>
      </c>
      <c r="P62" s="10" t="s">
        <v>431</v>
      </c>
      <c r="Q62" s="10" t="s">
        <v>431</v>
      </c>
      <c r="R62" s="10" t="s">
        <v>431</v>
      </c>
      <c r="S62" s="10" t="s">
        <v>431</v>
      </c>
      <c r="T62" s="10" t="s">
        <v>431</v>
      </c>
      <c r="U62" s="10" t="s">
        <v>431</v>
      </c>
      <c r="V62" s="11" t="s">
        <v>431</v>
      </c>
      <c r="W62" s="11" t="s">
        <v>431</v>
      </c>
      <c r="X62" s="10" t="s">
        <v>431</v>
      </c>
      <c r="Y62" s="10" t="s">
        <v>431</v>
      </c>
      <c r="Z62" s="47" t="s">
        <v>431</v>
      </c>
      <c r="AA62" s="47" t="s">
        <v>431</v>
      </c>
      <c r="AB62" s="48" t="s">
        <v>431</v>
      </c>
    </row>
    <row r="63" spans="1:28" x14ac:dyDescent="0.3">
      <c r="A63" s="5">
        <v>63</v>
      </c>
      <c r="B63" s="34">
        <v>19</v>
      </c>
      <c r="C63" s="22" t="s">
        <v>274</v>
      </c>
      <c r="D63" s="22" t="s">
        <v>303</v>
      </c>
      <c r="E63" s="22" t="s">
        <v>363</v>
      </c>
      <c r="F63" s="22">
        <v>142</v>
      </c>
      <c r="G63" s="22" t="s">
        <v>305</v>
      </c>
      <c r="H63" s="22" t="s">
        <v>418</v>
      </c>
      <c r="I63" s="23">
        <v>45504</v>
      </c>
      <c r="J63" s="23">
        <f>EDATE(I63,K63)</f>
        <v>46173</v>
      </c>
      <c r="K63" s="22">
        <v>22</v>
      </c>
      <c r="L63" s="35">
        <f ca="1">IF(J63 &lt; TODAY(), -DATEDIF(J63, TODAY(), "M"), DATEDIF(TODAY(), J63, "M"))</f>
        <v>0</v>
      </c>
      <c r="N63">
        <v>67</v>
      </c>
      <c r="O63" s="20">
        <v>123</v>
      </c>
      <c r="P63" s="10" t="s">
        <v>263</v>
      </c>
      <c r="Q63" s="10" t="s">
        <v>228</v>
      </c>
      <c r="R63" s="10" t="s">
        <v>311</v>
      </c>
      <c r="S63" s="10">
        <v>780</v>
      </c>
      <c r="T63" s="10" t="s">
        <v>234</v>
      </c>
      <c r="U63" s="46" t="s">
        <v>441</v>
      </c>
      <c r="V63" s="11">
        <v>45535</v>
      </c>
      <c r="W63" s="10">
        <v>46405</v>
      </c>
      <c r="X63" s="10">
        <v>40000</v>
      </c>
      <c r="Y63" s="10">
        <f t="shared" ref="Y63:Y68" si="24">W63+X63</f>
        <v>86405</v>
      </c>
      <c r="Z63" s="47">
        <f t="shared" ref="Z63:Z68" si="25">Y63-AB63</f>
        <v>31300</v>
      </c>
      <c r="AA63" s="47">
        <f t="shared" ref="AA63:AA68" si="26">(AB63-W63)/X63*100</f>
        <v>21.75</v>
      </c>
      <c r="AB63" s="48">
        <v>55105</v>
      </c>
    </row>
    <row r="64" spans="1:28" x14ac:dyDescent="0.3">
      <c r="A64" s="33">
        <v>64</v>
      </c>
      <c r="B64" s="34">
        <v>19</v>
      </c>
      <c r="C64" s="22" t="s">
        <v>274</v>
      </c>
      <c r="D64" s="22" t="s">
        <v>303</v>
      </c>
      <c r="E64" s="22" t="s">
        <v>363</v>
      </c>
      <c r="F64" s="22">
        <v>142</v>
      </c>
      <c r="G64" s="22" t="s">
        <v>305</v>
      </c>
      <c r="H64" s="22" t="s">
        <v>418</v>
      </c>
      <c r="I64" s="23">
        <v>45504</v>
      </c>
      <c r="J64" s="23">
        <f>EDATE(I64,K64)</f>
        <v>46173</v>
      </c>
      <c r="K64" s="22">
        <v>22</v>
      </c>
      <c r="L64" s="35">
        <f ca="1">IF(J64 &lt; TODAY(), -DATEDIF(J64, TODAY(), "M"), DATEDIF(TODAY(), J64, "M"))</f>
        <v>0</v>
      </c>
      <c r="N64" s="5">
        <v>68</v>
      </c>
      <c r="O64" s="20">
        <v>123</v>
      </c>
      <c r="P64" s="10" t="s">
        <v>263</v>
      </c>
      <c r="Q64" s="10" t="s">
        <v>228</v>
      </c>
      <c r="R64" s="10" t="s">
        <v>311</v>
      </c>
      <c r="S64" s="10">
        <v>780</v>
      </c>
      <c r="T64" s="10" t="s">
        <v>234</v>
      </c>
      <c r="U64" s="46" t="s">
        <v>441</v>
      </c>
      <c r="V64" s="11">
        <v>45535</v>
      </c>
      <c r="W64" s="10">
        <v>46405</v>
      </c>
      <c r="X64" s="10">
        <v>40000</v>
      </c>
      <c r="Y64" s="10">
        <f t="shared" si="24"/>
        <v>86405</v>
      </c>
      <c r="Z64" s="47">
        <f t="shared" si="25"/>
        <v>31300</v>
      </c>
      <c r="AA64" s="47">
        <f t="shared" si="26"/>
        <v>21.75</v>
      </c>
      <c r="AB64" s="48">
        <f>AB63</f>
        <v>55105</v>
      </c>
    </row>
    <row r="65" spans="1:28" x14ac:dyDescent="0.3">
      <c r="A65" s="5">
        <v>65</v>
      </c>
      <c r="B65" s="36">
        <v>19</v>
      </c>
      <c r="C65" s="26" t="s">
        <v>274</v>
      </c>
      <c r="D65" s="26" t="s">
        <v>303</v>
      </c>
      <c r="E65" s="26" t="s">
        <v>363</v>
      </c>
      <c r="F65" s="26">
        <v>142</v>
      </c>
      <c r="G65" s="26" t="s">
        <v>305</v>
      </c>
      <c r="H65" s="26" t="s">
        <v>418</v>
      </c>
      <c r="I65" s="27">
        <v>45504</v>
      </c>
      <c r="J65" s="27">
        <f>EDATE(I65,K65)</f>
        <v>46173</v>
      </c>
      <c r="K65" s="26">
        <v>22</v>
      </c>
      <c r="L65" s="37">
        <f ca="1">IF(J65 &lt; TODAY(), -DATEDIF(J65, TODAY(), "M"), DATEDIF(TODAY(), J65, "M"))</f>
        <v>0</v>
      </c>
      <c r="N65">
        <v>69</v>
      </c>
      <c r="O65" s="20">
        <v>123</v>
      </c>
      <c r="P65" s="10" t="s">
        <v>263</v>
      </c>
      <c r="Q65" s="10" t="s">
        <v>228</v>
      </c>
      <c r="R65" s="10" t="s">
        <v>311</v>
      </c>
      <c r="S65" s="10">
        <v>780</v>
      </c>
      <c r="T65" s="10" t="s">
        <v>234</v>
      </c>
      <c r="U65" s="46" t="s">
        <v>441</v>
      </c>
      <c r="V65" s="11">
        <v>45535</v>
      </c>
      <c r="W65" s="10">
        <v>46405</v>
      </c>
      <c r="X65" s="10">
        <v>40000</v>
      </c>
      <c r="Y65" s="10">
        <f t="shared" si="24"/>
        <v>86405</v>
      </c>
      <c r="Z65" s="47">
        <f t="shared" si="25"/>
        <v>31300</v>
      </c>
      <c r="AA65" s="47">
        <f t="shared" si="26"/>
        <v>21.75</v>
      </c>
      <c r="AB65" s="48">
        <f>AB64</f>
        <v>55105</v>
      </c>
    </row>
    <row r="66" spans="1:28" customFormat="1" x14ac:dyDescent="0.3">
      <c r="A66" s="5">
        <v>66</v>
      </c>
      <c r="B66" s="38" t="s">
        <v>431</v>
      </c>
      <c r="C66" s="32" t="s">
        <v>431</v>
      </c>
      <c r="D66" s="32" t="s">
        <v>431</v>
      </c>
      <c r="E66" s="32" t="s">
        <v>431</v>
      </c>
      <c r="F66" s="32" t="s">
        <v>431</v>
      </c>
      <c r="G66" s="32" t="s">
        <v>431</v>
      </c>
      <c r="H66" s="31" t="s">
        <v>431</v>
      </c>
      <c r="I66" s="32" t="s">
        <v>431</v>
      </c>
      <c r="J66" s="32" t="s">
        <v>431</v>
      </c>
      <c r="K66" s="32" t="s">
        <v>431</v>
      </c>
      <c r="L66" s="39" t="s">
        <v>431</v>
      </c>
      <c r="N66" s="5">
        <v>70</v>
      </c>
      <c r="O66" s="20">
        <v>123</v>
      </c>
      <c r="P66" s="10" t="s">
        <v>263</v>
      </c>
      <c r="Q66" s="10" t="s">
        <v>228</v>
      </c>
      <c r="R66" s="10" t="s">
        <v>311</v>
      </c>
      <c r="S66" s="10">
        <v>780</v>
      </c>
      <c r="T66" s="10" t="s">
        <v>234</v>
      </c>
      <c r="U66" s="46" t="s">
        <v>441</v>
      </c>
      <c r="V66" s="11">
        <v>45535</v>
      </c>
      <c r="W66" s="10">
        <v>46405</v>
      </c>
      <c r="X66" s="10">
        <v>40000</v>
      </c>
      <c r="Y66" s="10">
        <f t="shared" si="24"/>
        <v>86405</v>
      </c>
      <c r="Z66" s="47">
        <f t="shared" si="25"/>
        <v>31300</v>
      </c>
      <c r="AA66" s="47">
        <f t="shared" si="26"/>
        <v>21.75</v>
      </c>
      <c r="AB66" s="48">
        <f>AB65</f>
        <v>55105</v>
      </c>
    </row>
    <row r="67" spans="1:28" x14ac:dyDescent="0.3">
      <c r="A67" s="5">
        <v>67</v>
      </c>
      <c r="B67" s="40">
        <v>37</v>
      </c>
      <c r="C67" s="28" t="s">
        <v>211</v>
      </c>
      <c r="D67" s="28" t="s">
        <v>212</v>
      </c>
      <c r="E67" s="28" t="s">
        <v>319</v>
      </c>
      <c r="F67" s="28">
        <v>786</v>
      </c>
      <c r="G67" s="28" t="s">
        <v>214</v>
      </c>
      <c r="H67" s="28" t="s">
        <v>420</v>
      </c>
      <c r="I67" s="29">
        <v>45991</v>
      </c>
      <c r="J67" s="29">
        <f>EDATE(I67,K67)</f>
        <v>46721</v>
      </c>
      <c r="K67" s="28">
        <v>24</v>
      </c>
      <c r="L67" s="41">
        <f ca="1">IF(J67 &lt; TODAY(), -DATEDIF(J67, TODAY(), "M"), DATEDIF(TODAY(), J67, "M"))</f>
        <v>18</v>
      </c>
      <c r="N67">
        <v>71</v>
      </c>
      <c r="O67" s="20">
        <v>123</v>
      </c>
      <c r="P67" s="10" t="s">
        <v>263</v>
      </c>
      <c r="Q67" s="10" t="s">
        <v>228</v>
      </c>
      <c r="R67" s="10" t="s">
        <v>311</v>
      </c>
      <c r="S67" s="10">
        <v>780</v>
      </c>
      <c r="T67" s="10" t="s">
        <v>234</v>
      </c>
      <c r="U67" s="46" t="s">
        <v>441</v>
      </c>
      <c r="V67" s="11">
        <v>45535</v>
      </c>
      <c r="W67" s="10">
        <v>46405</v>
      </c>
      <c r="X67" s="10">
        <v>40000</v>
      </c>
      <c r="Y67" s="10">
        <f t="shared" si="24"/>
        <v>86405</v>
      </c>
      <c r="Z67" s="47">
        <f t="shared" si="25"/>
        <v>31300</v>
      </c>
      <c r="AA67" s="47">
        <f t="shared" si="26"/>
        <v>21.75</v>
      </c>
      <c r="AB67" s="48">
        <f>AB66</f>
        <v>55105</v>
      </c>
    </row>
    <row r="68" spans="1:28" x14ac:dyDescent="0.3">
      <c r="A68" s="33">
        <v>68</v>
      </c>
      <c r="B68" s="34">
        <v>37</v>
      </c>
      <c r="C68" s="22" t="s">
        <v>211</v>
      </c>
      <c r="D68" s="22" t="s">
        <v>212</v>
      </c>
      <c r="E68" s="22" t="s">
        <v>319</v>
      </c>
      <c r="F68" s="22">
        <v>786</v>
      </c>
      <c r="G68" s="22" t="s">
        <v>214</v>
      </c>
      <c r="H68" s="22" t="s">
        <v>420</v>
      </c>
      <c r="I68" s="23">
        <v>45991</v>
      </c>
      <c r="J68" s="23">
        <f>EDATE(I68,K68)</f>
        <v>46721</v>
      </c>
      <c r="K68" s="22">
        <v>24</v>
      </c>
      <c r="L68" s="35">
        <f ca="1">IF(J68 &lt; TODAY(), -DATEDIF(J68, TODAY(), "M"), DATEDIF(TODAY(), J68, "M"))</f>
        <v>18</v>
      </c>
      <c r="N68" s="5">
        <v>72</v>
      </c>
      <c r="O68" s="20">
        <v>123</v>
      </c>
      <c r="P68" s="10" t="s">
        <v>263</v>
      </c>
      <c r="Q68" s="10" t="s">
        <v>228</v>
      </c>
      <c r="R68" s="10" t="s">
        <v>311</v>
      </c>
      <c r="S68" s="10">
        <v>780</v>
      </c>
      <c r="T68" s="10" t="s">
        <v>234</v>
      </c>
      <c r="U68" s="46" t="s">
        <v>441</v>
      </c>
      <c r="V68" s="11">
        <v>45535</v>
      </c>
      <c r="W68" s="10">
        <v>46405</v>
      </c>
      <c r="X68" s="10">
        <v>40000</v>
      </c>
      <c r="Y68" s="10">
        <f t="shared" si="24"/>
        <v>86405</v>
      </c>
      <c r="Z68" s="47">
        <f t="shared" si="25"/>
        <v>31300</v>
      </c>
      <c r="AA68" s="47">
        <f t="shared" si="26"/>
        <v>21.75</v>
      </c>
      <c r="AB68" s="48">
        <f>AB67</f>
        <v>55105</v>
      </c>
    </row>
    <row r="69" spans="1:28" x14ac:dyDescent="0.3">
      <c r="A69" s="33">
        <v>69</v>
      </c>
      <c r="B69" s="34">
        <v>37</v>
      </c>
      <c r="C69" s="22" t="s">
        <v>211</v>
      </c>
      <c r="D69" s="22" t="s">
        <v>212</v>
      </c>
      <c r="E69" s="22" t="s">
        <v>319</v>
      </c>
      <c r="F69" s="22">
        <v>786</v>
      </c>
      <c r="G69" s="22" t="s">
        <v>214</v>
      </c>
      <c r="H69" s="22" t="s">
        <v>419</v>
      </c>
      <c r="I69" s="23">
        <v>45657</v>
      </c>
      <c r="J69" s="23">
        <f>EDATE(I69,K69)</f>
        <v>46326</v>
      </c>
      <c r="K69" s="22">
        <v>22</v>
      </c>
      <c r="L69" s="35">
        <f ca="1">IF(J69 &lt; TODAY(), -DATEDIF(J69, TODAY(), "M"), DATEDIF(TODAY(), J69, "M"))</f>
        <v>5</v>
      </c>
      <c r="N69">
        <v>73</v>
      </c>
      <c r="O69" s="20" t="s">
        <v>431</v>
      </c>
      <c r="P69" s="10" t="s">
        <v>431</v>
      </c>
      <c r="Q69" s="10" t="s">
        <v>431</v>
      </c>
      <c r="R69" s="10" t="s">
        <v>431</v>
      </c>
      <c r="S69" s="10" t="s">
        <v>431</v>
      </c>
      <c r="T69" s="10" t="s">
        <v>431</v>
      </c>
      <c r="U69" s="10" t="s">
        <v>431</v>
      </c>
      <c r="V69" s="11" t="s">
        <v>431</v>
      </c>
      <c r="W69" s="11" t="s">
        <v>431</v>
      </c>
      <c r="X69" s="10" t="s">
        <v>431</v>
      </c>
      <c r="Y69" s="10" t="s">
        <v>431</v>
      </c>
      <c r="Z69" s="47" t="s">
        <v>431</v>
      </c>
      <c r="AA69" s="47" t="s">
        <v>431</v>
      </c>
      <c r="AB69" s="48" t="s">
        <v>431</v>
      </c>
    </row>
    <row r="70" spans="1:28" x14ac:dyDescent="0.3">
      <c r="A70" s="5">
        <v>70</v>
      </c>
      <c r="B70" s="36">
        <v>37</v>
      </c>
      <c r="C70" s="26" t="s">
        <v>211</v>
      </c>
      <c r="D70" s="26" t="s">
        <v>212</v>
      </c>
      <c r="E70" s="26" t="s">
        <v>319</v>
      </c>
      <c r="F70" s="26">
        <v>786</v>
      </c>
      <c r="G70" s="26" t="s">
        <v>214</v>
      </c>
      <c r="H70" s="26" t="s">
        <v>419</v>
      </c>
      <c r="I70" s="27">
        <v>45657</v>
      </c>
      <c r="J70" s="27">
        <f>EDATE(I70,K70)</f>
        <v>46326</v>
      </c>
      <c r="K70" s="26">
        <v>22</v>
      </c>
      <c r="L70" s="37">
        <f ca="1">IF(J70 &lt; TODAY(), -DATEDIF(J70, TODAY(), "M"), DATEDIF(TODAY(), J70, "M"))</f>
        <v>5</v>
      </c>
      <c r="N70" s="5">
        <v>74</v>
      </c>
      <c r="O70" s="20">
        <v>124</v>
      </c>
      <c r="P70" s="10" t="s">
        <v>263</v>
      </c>
      <c r="Q70" s="10" t="s">
        <v>228</v>
      </c>
      <c r="R70" s="10" t="s">
        <v>311</v>
      </c>
      <c r="S70" s="10">
        <v>759</v>
      </c>
      <c r="T70" s="10" t="s">
        <v>231</v>
      </c>
      <c r="U70" s="46" t="s">
        <v>441</v>
      </c>
      <c r="V70" s="11">
        <v>44926</v>
      </c>
      <c r="W70" s="10">
        <v>55740</v>
      </c>
      <c r="X70" s="10">
        <v>40000</v>
      </c>
      <c r="Y70" s="10">
        <f t="shared" ref="Y70:Y75" si="27">W70+X70</f>
        <v>95740</v>
      </c>
      <c r="Z70" s="47">
        <f t="shared" ref="Z70:Z75" si="28">Y70-AB70</f>
        <v>20135</v>
      </c>
      <c r="AA70" s="47">
        <f t="shared" ref="AA70:AA75" si="29">(AB70-W70)/X70*100</f>
        <v>49.662500000000001</v>
      </c>
      <c r="AB70" s="48">
        <v>75605</v>
      </c>
    </row>
    <row r="71" spans="1:28" customFormat="1" x14ac:dyDescent="0.3">
      <c r="A71" s="5">
        <v>71</v>
      </c>
      <c r="B71" s="38" t="s">
        <v>431</v>
      </c>
      <c r="C71" s="32" t="s">
        <v>431</v>
      </c>
      <c r="D71" s="32" t="s">
        <v>431</v>
      </c>
      <c r="E71" s="32" t="s">
        <v>431</v>
      </c>
      <c r="F71" s="32" t="s">
        <v>431</v>
      </c>
      <c r="G71" s="32" t="s">
        <v>431</v>
      </c>
      <c r="H71" s="31" t="s">
        <v>431</v>
      </c>
      <c r="I71" s="32" t="s">
        <v>431</v>
      </c>
      <c r="J71" s="32" t="s">
        <v>431</v>
      </c>
      <c r="K71" s="32" t="s">
        <v>431</v>
      </c>
      <c r="L71" s="39" t="s">
        <v>431</v>
      </c>
      <c r="N71">
        <v>75</v>
      </c>
      <c r="O71" s="20">
        <v>124</v>
      </c>
      <c r="P71" s="10" t="s">
        <v>263</v>
      </c>
      <c r="Q71" s="10" t="s">
        <v>228</v>
      </c>
      <c r="R71" s="10" t="s">
        <v>311</v>
      </c>
      <c r="S71" s="10">
        <v>759</v>
      </c>
      <c r="T71" s="10" t="s">
        <v>231</v>
      </c>
      <c r="U71" s="46" t="s">
        <v>441</v>
      </c>
      <c r="V71" s="11">
        <v>44926</v>
      </c>
      <c r="W71" s="10">
        <v>55740</v>
      </c>
      <c r="X71" s="10">
        <v>40000</v>
      </c>
      <c r="Y71" s="10">
        <f t="shared" si="27"/>
        <v>95740</v>
      </c>
      <c r="Z71" s="47">
        <f t="shared" si="28"/>
        <v>20135</v>
      </c>
      <c r="AA71" s="47">
        <f t="shared" si="29"/>
        <v>49.662500000000001</v>
      </c>
      <c r="AB71" s="48">
        <f>AB70</f>
        <v>75605</v>
      </c>
    </row>
    <row r="72" spans="1:28" x14ac:dyDescent="0.3">
      <c r="A72" s="5">
        <v>72</v>
      </c>
      <c r="B72" s="40">
        <v>43</v>
      </c>
      <c r="C72" s="28" t="s">
        <v>216</v>
      </c>
      <c r="D72" s="28" t="s">
        <v>212</v>
      </c>
      <c r="E72" s="28" t="s">
        <v>319</v>
      </c>
      <c r="F72" s="28">
        <v>468</v>
      </c>
      <c r="G72" s="28" t="s">
        <v>215</v>
      </c>
      <c r="H72" s="30" t="s">
        <v>421</v>
      </c>
      <c r="I72" s="29">
        <v>44166</v>
      </c>
      <c r="J72" s="29">
        <f>EDATE(I72,K72)</f>
        <v>44835</v>
      </c>
      <c r="K72" s="28">
        <v>22</v>
      </c>
      <c r="L72" s="41">
        <f ca="1">IF(J72 &lt; TODAY(), -DATEDIF(J72, TODAY(), "M"), DATEDIF(TODAY(), J72, "M"))</f>
        <v>-43</v>
      </c>
      <c r="N72" s="5">
        <v>76</v>
      </c>
      <c r="O72" s="20">
        <v>124</v>
      </c>
      <c r="P72" s="10" t="s">
        <v>263</v>
      </c>
      <c r="Q72" s="10" t="s">
        <v>228</v>
      </c>
      <c r="R72" s="10" t="s">
        <v>311</v>
      </c>
      <c r="S72" s="10">
        <v>759</v>
      </c>
      <c r="T72" s="10" t="s">
        <v>231</v>
      </c>
      <c r="U72" s="46" t="s">
        <v>441</v>
      </c>
      <c r="V72" s="11">
        <v>44926</v>
      </c>
      <c r="W72" s="10">
        <v>55740</v>
      </c>
      <c r="X72" s="10">
        <v>40000</v>
      </c>
      <c r="Y72" s="10">
        <f t="shared" si="27"/>
        <v>95740</v>
      </c>
      <c r="Z72" s="47">
        <f t="shared" si="28"/>
        <v>20135</v>
      </c>
      <c r="AA72" s="47">
        <f t="shared" si="29"/>
        <v>49.662500000000001</v>
      </c>
      <c r="AB72" s="48">
        <f>AB71</f>
        <v>75605</v>
      </c>
    </row>
    <row r="73" spans="1:28" x14ac:dyDescent="0.3">
      <c r="A73" s="33">
        <v>73</v>
      </c>
      <c r="B73" s="34">
        <v>43</v>
      </c>
      <c r="C73" s="22" t="s">
        <v>216</v>
      </c>
      <c r="D73" s="22" t="s">
        <v>212</v>
      </c>
      <c r="E73" s="22" t="s">
        <v>319</v>
      </c>
      <c r="F73" s="22">
        <v>468</v>
      </c>
      <c r="G73" s="22" t="s">
        <v>215</v>
      </c>
      <c r="H73" s="24" t="s">
        <v>421</v>
      </c>
      <c r="I73" s="23">
        <v>44166</v>
      </c>
      <c r="J73" s="23">
        <f>EDATE(I73,K73)</f>
        <v>44835</v>
      </c>
      <c r="K73" s="22">
        <v>22</v>
      </c>
      <c r="L73" s="35">
        <f ca="1">IF(J73 &lt; TODAY(), -DATEDIF(J73, TODAY(), "M"), DATEDIF(TODAY(), J73, "M"))</f>
        <v>-43</v>
      </c>
      <c r="N73">
        <v>77</v>
      </c>
      <c r="O73" s="20">
        <v>124</v>
      </c>
      <c r="P73" s="10" t="s">
        <v>263</v>
      </c>
      <c r="Q73" s="10" t="s">
        <v>228</v>
      </c>
      <c r="R73" s="10" t="s">
        <v>311</v>
      </c>
      <c r="S73" s="10">
        <v>759</v>
      </c>
      <c r="T73" s="10" t="s">
        <v>231</v>
      </c>
      <c r="U73" s="46" t="s">
        <v>441</v>
      </c>
      <c r="V73" s="11">
        <v>44926</v>
      </c>
      <c r="W73" s="10">
        <v>55740</v>
      </c>
      <c r="X73" s="10">
        <v>40000</v>
      </c>
      <c r="Y73" s="10">
        <f t="shared" si="27"/>
        <v>95740</v>
      </c>
      <c r="Z73" s="47">
        <f t="shared" si="28"/>
        <v>20135</v>
      </c>
      <c r="AA73" s="47">
        <f t="shared" si="29"/>
        <v>49.662500000000001</v>
      </c>
      <c r="AB73" s="48">
        <f>AB72</f>
        <v>75605</v>
      </c>
    </row>
    <row r="74" spans="1:28" x14ac:dyDescent="0.3">
      <c r="A74" s="5">
        <v>74</v>
      </c>
      <c r="B74" s="34">
        <v>43</v>
      </c>
      <c r="C74" s="22" t="s">
        <v>216</v>
      </c>
      <c r="D74" s="22" t="s">
        <v>212</v>
      </c>
      <c r="E74" s="22" t="s">
        <v>319</v>
      </c>
      <c r="F74" s="22">
        <v>468</v>
      </c>
      <c r="G74" s="22" t="s">
        <v>215</v>
      </c>
      <c r="H74" s="22" t="s">
        <v>422</v>
      </c>
      <c r="I74" s="23">
        <v>45077</v>
      </c>
      <c r="J74" s="23">
        <f>EDATE(I74,K74)</f>
        <v>45747</v>
      </c>
      <c r="K74" s="22">
        <v>22</v>
      </c>
      <c r="L74" s="35">
        <f ca="1">IF(J74 &lt; TODAY(), -DATEDIF(J74, TODAY(), "M"), DATEDIF(TODAY(), J74, "M"))</f>
        <v>-13</v>
      </c>
      <c r="N74">
        <v>78</v>
      </c>
      <c r="O74" s="20">
        <v>124</v>
      </c>
      <c r="P74" s="10" t="s">
        <v>263</v>
      </c>
      <c r="Q74" s="10" t="s">
        <v>228</v>
      </c>
      <c r="R74" s="10" t="s">
        <v>311</v>
      </c>
      <c r="S74" s="10">
        <v>759</v>
      </c>
      <c r="T74" s="10" t="s">
        <v>231</v>
      </c>
      <c r="U74" s="46" t="s">
        <v>441</v>
      </c>
      <c r="V74" s="11">
        <v>44926</v>
      </c>
      <c r="W74" s="10">
        <v>55740</v>
      </c>
      <c r="X74" s="10">
        <v>40000</v>
      </c>
      <c r="Y74" s="10">
        <f t="shared" si="27"/>
        <v>95740</v>
      </c>
      <c r="Z74" s="47">
        <f t="shared" si="28"/>
        <v>20135</v>
      </c>
      <c r="AA74" s="47">
        <f t="shared" si="29"/>
        <v>49.662500000000001</v>
      </c>
      <c r="AB74" s="48">
        <f>AB73</f>
        <v>75605</v>
      </c>
    </row>
    <row r="75" spans="1:28" x14ac:dyDescent="0.3">
      <c r="A75" s="5">
        <v>75</v>
      </c>
      <c r="B75" s="36">
        <v>43</v>
      </c>
      <c r="C75" s="26" t="s">
        <v>216</v>
      </c>
      <c r="D75" s="26" t="s">
        <v>212</v>
      </c>
      <c r="E75" s="26" t="s">
        <v>319</v>
      </c>
      <c r="F75" s="26">
        <v>468</v>
      </c>
      <c r="G75" s="26" t="s">
        <v>215</v>
      </c>
      <c r="H75" s="26" t="s">
        <v>422</v>
      </c>
      <c r="I75" s="27">
        <v>45077</v>
      </c>
      <c r="J75" s="27">
        <f>EDATE(I75,K75)</f>
        <v>45747</v>
      </c>
      <c r="K75" s="26">
        <v>22</v>
      </c>
      <c r="L75" s="37">
        <f ca="1">IF(J75 &lt; TODAY(), -DATEDIF(J75, TODAY(), "M"), DATEDIF(TODAY(), J75, "M"))</f>
        <v>-13</v>
      </c>
      <c r="N75">
        <v>79</v>
      </c>
      <c r="O75" s="20">
        <v>124</v>
      </c>
      <c r="P75" s="10" t="s">
        <v>263</v>
      </c>
      <c r="Q75" s="10" t="s">
        <v>228</v>
      </c>
      <c r="R75" s="10" t="s">
        <v>311</v>
      </c>
      <c r="S75" s="10">
        <v>759</v>
      </c>
      <c r="T75" s="10" t="s">
        <v>231</v>
      </c>
      <c r="U75" s="46" t="s">
        <v>441</v>
      </c>
      <c r="V75" s="11">
        <v>44926</v>
      </c>
      <c r="W75" s="10">
        <v>55740</v>
      </c>
      <c r="X75" s="10">
        <v>40000</v>
      </c>
      <c r="Y75" s="10">
        <f t="shared" si="27"/>
        <v>95740</v>
      </c>
      <c r="Z75" s="47">
        <f t="shared" si="28"/>
        <v>20135</v>
      </c>
      <c r="AA75" s="47">
        <f t="shared" si="29"/>
        <v>49.662500000000001</v>
      </c>
      <c r="AB75" s="48">
        <f>AB74</f>
        <v>75605</v>
      </c>
    </row>
    <row r="76" spans="1:28" customFormat="1" x14ac:dyDescent="0.3">
      <c r="A76" s="33">
        <v>76</v>
      </c>
      <c r="B76" s="38" t="s">
        <v>431</v>
      </c>
      <c r="C76" s="32" t="s">
        <v>431</v>
      </c>
      <c r="D76" s="32" t="s">
        <v>431</v>
      </c>
      <c r="E76" s="32" t="s">
        <v>431</v>
      </c>
      <c r="F76" s="32" t="s">
        <v>431</v>
      </c>
      <c r="G76" s="32" t="s">
        <v>431</v>
      </c>
      <c r="H76" s="31" t="s">
        <v>431</v>
      </c>
      <c r="I76" s="32" t="s">
        <v>431</v>
      </c>
      <c r="J76" s="32" t="s">
        <v>431</v>
      </c>
      <c r="K76" s="32" t="s">
        <v>431</v>
      </c>
      <c r="L76" s="39" t="s">
        <v>431</v>
      </c>
      <c r="N76" s="5">
        <v>80</v>
      </c>
      <c r="O76" s="20" t="s">
        <v>431</v>
      </c>
      <c r="P76" s="10" t="s">
        <v>431</v>
      </c>
      <c r="Q76" s="10" t="s">
        <v>431</v>
      </c>
      <c r="R76" s="10" t="s">
        <v>431</v>
      </c>
      <c r="S76" s="10" t="s">
        <v>431</v>
      </c>
      <c r="T76" s="10" t="s">
        <v>431</v>
      </c>
      <c r="U76" s="10" t="s">
        <v>431</v>
      </c>
      <c r="V76" s="11" t="s">
        <v>431</v>
      </c>
      <c r="W76" s="11" t="s">
        <v>431</v>
      </c>
      <c r="X76" s="10" t="s">
        <v>431</v>
      </c>
      <c r="Y76" s="10" t="s">
        <v>431</v>
      </c>
      <c r="Z76" s="47" t="s">
        <v>431</v>
      </c>
      <c r="AA76" s="47" t="s">
        <v>431</v>
      </c>
      <c r="AB76" s="48" t="s">
        <v>431</v>
      </c>
    </row>
    <row r="77" spans="1:28" x14ac:dyDescent="0.3">
      <c r="A77" s="5">
        <v>77</v>
      </c>
      <c r="B77" s="40">
        <v>45</v>
      </c>
      <c r="C77" s="28" t="s">
        <v>211</v>
      </c>
      <c r="D77" s="28" t="s">
        <v>212</v>
      </c>
      <c r="E77" s="28" t="s">
        <v>319</v>
      </c>
      <c r="F77" s="28">
        <v>531</v>
      </c>
      <c r="G77" s="28" t="s">
        <v>213</v>
      </c>
      <c r="H77" s="28" t="s">
        <v>423</v>
      </c>
      <c r="I77" s="29">
        <v>45991</v>
      </c>
      <c r="J77" s="29">
        <f>EDATE(I77,K77)</f>
        <v>46721</v>
      </c>
      <c r="K77" s="28">
        <v>24</v>
      </c>
      <c r="L77" s="41">
        <f ca="1">IF(J77 &lt; TODAY(), -DATEDIF(J77, TODAY(), "M"), DATEDIF(TODAY(), J77, "M"))</f>
        <v>18</v>
      </c>
      <c r="N77">
        <v>81</v>
      </c>
      <c r="O77" s="20">
        <v>125</v>
      </c>
      <c r="P77" s="10" t="s">
        <v>263</v>
      </c>
      <c r="Q77" s="10" t="s">
        <v>228</v>
      </c>
      <c r="R77" s="10" t="s">
        <v>311</v>
      </c>
      <c r="S77" s="10">
        <v>747</v>
      </c>
      <c r="T77" s="10" t="s">
        <v>232</v>
      </c>
      <c r="U77" s="46" t="s">
        <v>441</v>
      </c>
      <c r="V77" s="11">
        <v>45412</v>
      </c>
      <c r="W77" s="10">
        <v>61813</v>
      </c>
      <c r="X77" s="10">
        <v>40000</v>
      </c>
      <c r="Y77" s="10">
        <f t="shared" ref="Y77:Y82" si="30">W77+X77</f>
        <v>101813</v>
      </c>
      <c r="Z77" s="47">
        <f t="shared" ref="Z77:Z82" si="31">Y77-AB77</f>
        <v>31734</v>
      </c>
      <c r="AA77" s="47">
        <f t="shared" ref="AA77:AA82" si="32">(AB77-W77)/X77*100</f>
        <v>20.664999999999999</v>
      </c>
      <c r="AB77" s="48">
        <v>70079</v>
      </c>
    </row>
    <row r="78" spans="1:28" x14ac:dyDescent="0.3">
      <c r="A78" s="5">
        <v>78</v>
      </c>
      <c r="B78" s="34">
        <v>45</v>
      </c>
      <c r="C78" s="22" t="s">
        <v>211</v>
      </c>
      <c r="D78" s="22" t="s">
        <v>212</v>
      </c>
      <c r="E78" s="22" t="s">
        <v>319</v>
      </c>
      <c r="F78" s="22">
        <v>531</v>
      </c>
      <c r="G78" s="22" t="s">
        <v>213</v>
      </c>
      <c r="H78" s="22" t="s">
        <v>423</v>
      </c>
      <c r="I78" s="23">
        <v>45991</v>
      </c>
      <c r="J78" s="23">
        <f>EDATE(I78,K78)</f>
        <v>46721</v>
      </c>
      <c r="K78" s="22">
        <v>24</v>
      </c>
      <c r="L78" s="35">
        <f ca="1">IF(J78 &lt; TODAY(), -DATEDIF(J78, TODAY(), "M"), DATEDIF(TODAY(), J78, "M"))</f>
        <v>18</v>
      </c>
      <c r="N78" s="5">
        <v>82</v>
      </c>
      <c r="O78" s="20">
        <v>125</v>
      </c>
      <c r="P78" s="10" t="s">
        <v>263</v>
      </c>
      <c r="Q78" s="10" t="s">
        <v>228</v>
      </c>
      <c r="R78" s="10" t="s">
        <v>311</v>
      </c>
      <c r="S78" s="10">
        <v>747</v>
      </c>
      <c r="T78" s="10" t="s">
        <v>232</v>
      </c>
      <c r="U78" s="46" t="s">
        <v>441</v>
      </c>
      <c r="V78" s="11">
        <v>45412</v>
      </c>
      <c r="W78" s="10">
        <v>61813</v>
      </c>
      <c r="X78" s="10">
        <v>40000</v>
      </c>
      <c r="Y78" s="10">
        <f t="shared" si="30"/>
        <v>101813</v>
      </c>
      <c r="Z78" s="47">
        <f t="shared" si="31"/>
        <v>31734</v>
      </c>
      <c r="AA78" s="47">
        <f t="shared" si="32"/>
        <v>20.664999999999999</v>
      </c>
      <c r="AB78" s="48">
        <f>AB77</f>
        <v>70079</v>
      </c>
    </row>
    <row r="79" spans="1:28" x14ac:dyDescent="0.3">
      <c r="A79" s="33">
        <v>79</v>
      </c>
      <c r="B79" s="34">
        <v>45</v>
      </c>
      <c r="C79" s="22" t="s">
        <v>211</v>
      </c>
      <c r="D79" s="22" t="s">
        <v>212</v>
      </c>
      <c r="E79" s="22" t="s">
        <v>319</v>
      </c>
      <c r="F79" s="22">
        <v>531</v>
      </c>
      <c r="G79" s="22" t="s">
        <v>213</v>
      </c>
      <c r="H79" s="22" t="s">
        <v>424</v>
      </c>
      <c r="I79" s="23">
        <v>46081</v>
      </c>
      <c r="J79" s="23">
        <f>EDATE(I79,K79)</f>
        <v>46811</v>
      </c>
      <c r="K79" s="22">
        <v>24</v>
      </c>
      <c r="L79" s="35">
        <f ca="1">IF(J79 &lt; TODAY(), -DATEDIF(J79, TODAY(), "M"), DATEDIF(TODAY(), J79, "M"))</f>
        <v>21</v>
      </c>
      <c r="N79">
        <v>83</v>
      </c>
      <c r="O79" s="20">
        <v>125</v>
      </c>
      <c r="P79" s="10" t="s">
        <v>263</v>
      </c>
      <c r="Q79" s="10" t="s">
        <v>228</v>
      </c>
      <c r="R79" s="10" t="s">
        <v>311</v>
      </c>
      <c r="S79" s="10">
        <v>747</v>
      </c>
      <c r="T79" s="10" t="s">
        <v>232</v>
      </c>
      <c r="U79" s="46" t="s">
        <v>441</v>
      </c>
      <c r="V79" s="11">
        <v>45412</v>
      </c>
      <c r="W79" s="10">
        <v>61813</v>
      </c>
      <c r="X79" s="10">
        <v>40000</v>
      </c>
      <c r="Y79" s="10">
        <f t="shared" si="30"/>
        <v>101813</v>
      </c>
      <c r="Z79" s="47">
        <f t="shared" si="31"/>
        <v>31734</v>
      </c>
      <c r="AA79" s="47">
        <f t="shared" si="32"/>
        <v>20.664999999999999</v>
      </c>
      <c r="AB79" s="48">
        <f>AB78</f>
        <v>70079</v>
      </c>
    </row>
    <row r="80" spans="1:28" x14ac:dyDescent="0.3">
      <c r="A80" s="5">
        <v>80</v>
      </c>
      <c r="B80" s="36">
        <v>45</v>
      </c>
      <c r="C80" s="26" t="s">
        <v>211</v>
      </c>
      <c r="D80" s="26" t="s">
        <v>212</v>
      </c>
      <c r="E80" s="26" t="s">
        <v>319</v>
      </c>
      <c r="F80" s="26">
        <v>531</v>
      </c>
      <c r="G80" s="26" t="s">
        <v>213</v>
      </c>
      <c r="H80" s="26" t="s">
        <v>424</v>
      </c>
      <c r="I80" s="27">
        <v>46081</v>
      </c>
      <c r="J80" s="27">
        <f>EDATE(I80,K80)</f>
        <v>46811</v>
      </c>
      <c r="K80" s="26">
        <v>24</v>
      </c>
      <c r="L80" s="37">
        <f ca="1">IF(J80 &lt; TODAY(), -DATEDIF(J80, TODAY(), "M"), DATEDIF(TODAY(), J80, "M"))</f>
        <v>21</v>
      </c>
      <c r="N80" s="5">
        <v>84</v>
      </c>
      <c r="O80" s="20">
        <v>125</v>
      </c>
      <c r="P80" s="10" t="s">
        <v>263</v>
      </c>
      <c r="Q80" s="10" t="s">
        <v>228</v>
      </c>
      <c r="R80" s="10" t="s">
        <v>311</v>
      </c>
      <c r="S80" s="10">
        <v>747</v>
      </c>
      <c r="T80" s="10" t="s">
        <v>232</v>
      </c>
      <c r="U80" s="46" t="s">
        <v>441</v>
      </c>
      <c r="V80" s="11">
        <v>45412</v>
      </c>
      <c r="W80" s="10">
        <v>61813</v>
      </c>
      <c r="X80" s="10">
        <v>40000</v>
      </c>
      <c r="Y80" s="10">
        <f t="shared" si="30"/>
        <v>101813</v>
      </c>
      <c r="Z80" s="47">
        <f t="shared" si="31"/>
        <v>31734</v>
      </c>
      <c r="AA80" s="47">
        <f t="shared" si="32"/>
        <v>20.664999999999999</v>
      </c>
      <c r="AB80" s="48">
        <f>AB79</f>
        <v>70079</v>
      </c>
    </row>
    <row r="81" spans="1:28" customFormat="1" x14ac:dyDescent="0.3">
      <c r="A81" s="5">
        <v>81</v>
      </c>
      <c r="B81" s="38" t="s">
        <v>431</v>
      </c>
      <c r="C81" s="32" t="s">
        <v>431</v>
      </c>
      <c r="D81" s="32" t="s">
        <v>431</v>
      </c>
      <c r="E81" s="32" t="s">
        <v>431</v>
      </c>
      <c r="F81" s="32" t="s">
        <v>431</v>
      </c>
      <c r="G81" s="32" t="s">
        <v>431</v>
      </c>
      <c r="H81" s="31" t="s">
        <v>431</v>
      </c>
      <c r="I81" s="32" t="s">
        <v>431</v>
      </c>
      <c r="J81" s="32" t="s">
        <v>431</v>
      </c>
      <c r="K81" s="32" t="s">
        <v>431</v>
      </c>
      <c r="L81" s="39" t="s">
        <v>431</v>
      </c>
      <c r="N81">
        <v>85</v>
      </c>
      <c r="O81" s="20">
        <v>125</v>
      </c>
      <c r="P81" s="10" t="s">
        <v>263</v>
      </c>
      <c r="Q81" s="10" t="s">
        <v>228</v>
      </c>
      <c r="R81" s="10" t="s">
        <v>311</v>
      </c>
      <c r="S81" s="10">
        <v>747</v>
      </c>
      <c r="T81" s="10" t="s">
        <v>232</v>
      </c>
      <c r="U81" s="46" t="s">
        <v>441</v>
      </c>
      <c r="V81" s="11">
        <v>45412</v>
      </c>
      <c r="W81" s="10">
        <v>61813</v>
      </c>
      <c r="X81" s="10">
        <v>40000</v>
      </c>
      <c r="Y81" s="10">
        <f t="shared" si="30"/>
        <v>101813</v>
      </c>
      <c r="Z81" s="47">
        <f t="shared" si="31"/>
        <v>31734</v>
      </c>
      <c r="AA81" s="47">
        <f t="shared" si="32"/>
        <v>20.664999999999999</v>
      </c>
      <c r="AB81" s="48">
        <f>AB80</f>
        <v>70079</v>
      </c>
    </row>
    <row r="82" spans="1:28" x14ac:dyDescent="0.3">
      <c r="A82" s="33">
        <v>82</v>
      </c>
      <c r="B82" s="40">
        <v>53</v>
      </c>
      <c r="C82" s="28" t="s">
        <v>183</v>
      </c>
      <c r="D82" s="28" t="s">
        <v>199</v>
      </c>
      <c r="E82" s="28" t="s">
        <v>319</v>
      </c>
      <c r="F82" s="28">
        <v>76</v>
      </c>
      <c r="G82" s="28" t="s">
        <v>201</v>
      </c>
      <c r="H82" s="28" t="s">
        <v>421</v>
      </c>
      <c r="I82" s="29">
        <v>44166</v>
      </c>
      <c r="J82" s="29">
        <f>EDATE(I82,K82)</f>
        <v>44835</v>
      </c>
      <c r="K82" s="28">
        <v>22</v>
      </c>
      <c r="L82" s="41">
        <f ca="1">IF(J82 &lt; TODAY(), -DATEDIF(J82, TODAY(), "M"), DATEDIF(TODAY(), J82, "M"))</f>
        <v>-43</v>
      </c>
      <c r="N82" s="5">
        <v>86</v>
      </c>
      <c r="O82" s="20">
        <v>125</v>
      </c>
      <c r="P82" s="10" t="s">
        <v>263</v>
      </c>
      <c r="Q82" s="10" t="s">
        <v>228</v>
      </c>
      <c r="R82" s="10" t="s">
        <v>311</v>
      </c>
      <c r="S82" s="10">
        <v>747</v>
      </c>
      <c r="T82" s="10" t="s">
        <v>232</v>
      </c>
      <c r="U82" s="46" t="s">
        <v>441</v>
      </c>
      <c r="V82" s="11">
        <v>45412</v>
      </c>
      <c r="W82" s="10">
        <v>61813</v>
      </c>
      <c r="X82" s="10">
        <v>40000</v>
      </c>
      <c r="Y82" s="10">
        <f t="shared" si="30"/>
        <v>101813</v>
      </c>
      <c r="Z82" s="47">
        <f t="shared" si="31"/>
        <v>31734</v>
      </c>
      <c r="AA82" s="47">
        <f t="shared" si="32"/>
        <v>20.664999999999999</v>
      </c>
      <c r="AB82" s="48">
        <f>AB81</f>
        <v>70079</v>
      </c>
    </row>
    <row r="83" spans="1:28" x14ac:dyDescent="0.3">
      <c r="A83" s="5">
        <v>83</v>
      </c>
      <c r="B83" s="34">
        <v>53</v>
      </c>
      <c r="C83" s="22" t="s">
        <v>183</v>
      </c>
      <c r="D83" s="22" t="s">
        <v>199</v>
      </c>
      <c r="E83" s="22" t="s">
        <v>319</v>
      </c>
      <c r="F83" s="22">
        <v>76</v>
      </c>
      <c r="G83" s="22" t="s">
        <v>201</v>
      </c>
      <c r="H83" s="22" t="s">
        <v>421</v>
      </c>
      <c r="I83" s="23">
        <v>44166</v>
      </c>
      <c r="J83" s="23">
        <f>EDATE(I83,K83)</f>
        <v>44835</v>
      </c>
      <c r="K83" s="22">
        <v>22</v>
      </c>
      <c r="L83" s="35">
        <f ca="1">IF(J83 &lt; TODAY(), -DATEDIF(J83, TODAY(), "M"), DATEDIF(TODAY(), J83, "M"))</f>
        <v>-43</v>
      </c>
      <c r="N83">
        <v>87</v>
      </c>
      <c r="O83" s="20" t="s">
        <v>431</v>
      </c>
      <c r="P83" s="10" t="s">
        <v>431</v>
      </c>
      <c r="Q83" s="10" t="s">
        <v>431</v>
      </c>
      <c r="R83" s="10" t="s">
        <v>431</v>
      </c>
      <c r="S83" s="10" t="s">
        <v>431</v>
      </c>
      <c r="T83" s="10" t="s">
        <v>431</v>
      </c>
      <c r="U83" s="10" t="s">
        <v>431</v>
      </c>
      <c r="V83" s="11" t="s">
        <v>431</v>
      </c>
      <c r="W83" s="11" t="s">
        <v>431</v>
      </c>
      <c r="X83" s="10" t="s">
        <v>431</v>
      </c>
      <c r="Y83" s="10" t="s">
        <v>431</v>
      </c>
      <c r="Z83" s="47" t="s">
        <v>431</v>
      </c>
      <c r="AA83" s="47" t="s">
        <v>431</v>
      </c>
      <c r="AB83" s="48" t="s">
        <v>431</v>
      </c>
    </row>
    <row r="84" spans="1:28" x14ac:dyDescent="0.3">
      <c r="A84" s="5">
        <v>84</v>
      </c>
      <c r="B84" s="34">
        <v>53</v>
      </c>
      <c r="C84" s="22" t="s">
        <v>183</v>
      </c>
      <c r="D84" s="22" t="s">
        <v>199</v>
      </c>
      <c r="E84" s="22" t="s">
        <v>319</v>
      </c>
      <c r="F84" s="22">
        <v>76</v>
      </c>
      <c r="G84" s="22" t="s">
        <v>201</v>
      </c>
      <c r="H84" s="22" t="s">
        <v>422</v>
      </c>
      <c r="I84" s="23">
        <v>46081</v>
      </c>
      <c r="J84" s="23">
        <f>EDATE(I84,K84)</f>
        <v>46811</v>
      </c>
      <c r="K84" s="22">
        <v>24</v>
      </c>
      <c r="L84" s="35">
        <f ca="1">IF(J84 &lt; TODAY(), -DATEDIF(J84, TODAY(), "M"), DATEDIF(TODAY(), J84, "M"))</f>
        <v>21</v>
      </c>
      <c r="N84" s="5">
        <v>88</v>
      </c>
      <c r="O84" s="20">
        <v>141</v>
      </c>
      <c r="P84" s="10" t="s">
        <v>163</v>
      </c>
      <c r="Q84" s="10" t="s">
        <v>164</v>
      </c>
      <c r="R84" s="10" t="s">
        <v>314</v>
      </c>
      <c r="S84" s="10">
        <v>96</v>
      </c>
      <c r="T84" s="10" t="s">
        <v>165</v>
      </c>
      <c r="U84" s="46" t="s">
        <v>442</v>
      </c>
      <c r="V84" s="11">
        <v>41583</v>
      </c>
      <c r="W84" s="10">
        <v>30428</v>
      </c>
      <c r="X84" s="10">
        <v>60000</v>
      </c>
      <c r="Y84" s="10">
        <f t="shared" ref="Y84:Y89" si="33">W84+X84</f>
        <v>90428</v>
      </c>
      <c r="Z84" s="47">
        <f t="shared" ref="Z84:Z89" si="34">Y84-AB84</f>
        <v>50522</v>
      </c>
      <c r="AA84" s="47">
        <f t="shared" ref="AA84:AA89" si="35">(AB84-W84)/X84*100</f>
        <v>15.796666666666667</v>
      </c>
      <c r="AB84" s="48">
        <v>39906</v>
      </c>
    </row>
    <row r="85" spans="1:28" x14ac:dyDescent="0.3">
      <c r="A85" s="33">
        <v>85</v>
      </c>
      <c r="B85" s="36">
        <v>53</v>
      </c>
      <c r="C85" s="26" t="s">
        <v>183</v>
      </c>
      <c r="D85" s="26" t="s">
        <v>199</v>
      </c>
      <c r="E85" s="26" t="s">
        <v>319</v>
      </c>
      <c r="F85" s="26">
        <v>76</v>
      </c>
      <c r="G85" s="26" t="s">
        <v>201</v>
      </c>
      <c r="H85" s="26" t="s">
        <v>422</v>
      </c>
      <c r="I85" s="27">
        <v>46081</v>
      </c>
      <c r="J85" s="27">
        <f>EDATE(I85,K85)</f>
        <v>46811</v>
      </c>
      <c r="K85" s="26">
        <v>24</v>
      </c>
      <c r="L85" s="37">
        <f ca="1">IF(J85 &lt; TODAY(), -DATEDIF(J85, TODAY(), "M"), DATEDIF(TODAY(), J85, "M"))</f>
        <v>21</v>
      </c>
      <c r="N85">
        <v>89</v>
      </c>
      <c r="O85" s="20">
        <v>141</v>
      </c>
      <c r="P85" s="10" t="s">
        <v>163</v>
      </c>
      <c r="Q85" s="10" t="s">
        <v>164</v>
      </c>
      <c r="R85" s="10" t="s">
        <v>314</v>
      </c>
      <c r="S85" s="10">
        <v>96</v>
      </c>
      <c r="T85" s="10" t="s">
        <v>165</v>
      </c>
      <c r="U85" s="46" t="s">
        <v>442</v>
      </c>
      <c r="V85" s="11">
        <v>41583</v>
      </c>
      <c r="W85" s="10">
        <v>30428</v>
      </c>
      <c r="X85" s="10">
        <v>60000</v>
      </c>
      <c r="Y85" s="10">
        <f t="shared" si="33"/>
        <v>90428</v>
      </c>
      <c r="Z85" s="47">
        <f t="shared" si="34"/>
        <v>50522</v>
      </c>
      <c r="AA85" s="47">
        <f t="shared" si="35"/>
        <v>15.796666666666667</v>
      </c>
      <c r="AB85" s="48">
        <f>AB84</f>
        <v>39906</v>
      </c>
    </row>
    <row r="86" spans="1:28" customFormat="1" x14ac:dyDescent="0.3">
      <c r="A86" s="5">
        <v>86</v>
      </c>
      <c r="B86" s="38" t="s">
        <v>431</v>
      </c>
      <c r="C86" s="32" t="s">
        <v>431</v>
      </c>
      <c r="D86" s="32" t="s">
        <v>431</v>
      </c>
      <c r="E86" s="32" t="s">
        <v>431</v>
      </c>
      <c r="F86" s="32" t="s">
        <v>431</v>
      </c>
      <c r="G86" s="32" t="s">
        <v>431</v>
      </c>
      <c r="H86" s="31" t="s">
        <v>431</v>
      </c>
      <c r="I86" s="32" t="s">
        <v>431</v>
      </c>
      <c r="J86" s="32" t="s">
        <v>431</v>
      </c>
      <c r="K86" s="32" t="s">
        <v>431</v>
      </c>
      <c r="L86" s="39" t="s">
        <v>431</v>
      </c>
      <c r="N86" s="5">
        <v>90</v>
      </c>
      <c r="O86" s="20">
        <v>141</v>
      </c>
      <c r="P86" s="10" t="s">
        <v>163</v>
      </c>
      <c r="Q86" s="10" t="s">
        <v>164</v>
      </c>
      <c r="R86" s="10" t="s">
        <v>314</v>
      </c>
      <c r="S86" s="10">
        <v>96</v>
      </c>
      <c r="T86" s="10" t="s">
        <v>165</v>
      </c>
      <c r="U86" s="46" t="s">
        <v>442</v>
      </c>
      <c r="V86" s="11">
        <v>41583</v>
      </c>
      <c r="W86" s="10">
        <v>30428</v>
      </c>
      <c r="X86" s="10">
        <v>60000</v>
      </c>
      <c r="Y86" s="10">
        <f t="shared" si="33"/>
        <v>90428</v>
      </c>
      <c r="Z86" s="47">
        <f t="shared" si="34"/>
        <v>50522</v>
      </c>
      <c r="AA86" s="47">
        <f t="shared" si="35"/>
        <v>15.796666666666667</v>
      </c>
      <c r="AB86" s="48">
        <f>AB85</f>
        <v>39906</v>
      </c>
    </row>
    <row r="87" spans="1:28" x14ac:dyDescent="0.3">
      <c r="A87" s="5">
        <v>87</v>
      </c>
      <c r="B87" s="40">
        <v>55</v>
      </c>
      <c r="C87" s="28" t="s">
        <v>217</v>
      </c>
      <c r="D87" s="28" t="s">
        <v>220</v>
      </c>
      <c r="E87" s="28" t="s">
        <v>315</v>
      </c>
      <c r="F87" s="28">
        <v>545</v>
      </c>
      <c r="G87" s="28" t="s">
        <v>221</v>
      </c>
      <c r="H87" s="28" t="s">
        <v>423</v>
      </c>
      <c r="I87" s="29">
        <v>45322</v>
      </c>
      <c r="J87" s="29">
        <f>EDATE(I87,K87)</f>
        <v>45991</v>
      </c>
      <c r="K87" s="28">
        <v>22</v>
      </c>
      <c r="L87" s="41">
        <f ca="1">IF(J87 &lt; TODAY(), -DATEDIF(J87, TODAY(), "M"), DATEDIF(TODAY(), J87, "M"))</f>
        <v>-5</v>
      </c>
      <c r="N87">
        <v>91</v>
      </c>
      <c r="O87" s="20">
        <v>141</v>
      </c>
      <c r="P87" s="10" t="s">
        <v>163</v>
      </c>
      <c r="Q87" s="10" t="s">
        <v>164</v>
      </c>
      <c r="R87" s="10" t="s">
        <v>314</v>
      </c>
      <c r="S87" s="10">
        <v>96</v>
      </c>
      <c r="T87" s="10" t="s">
        <v>165</v>
      </c>
      <c r="U87" s="46" t="s">
        <v>442</v>
      </c>
      <c r="V87" s="11">
        <v>41583</v>
      </c>
      <c r="W87" s="10">
        <v>30428</v>
      </c>
      <c r="X87" s="10">
        <v>60000</v>
      </c>
      <c r="Y87" s="10">
        <f t="shared" si="33"/>
        <v>90428</v>
      </c>
      <c r="Z87" s="47">
        <f t="shared" si="34"/>
        <v>50522</v>
      </c>
      <c r="AA87" s="47">
        <f t="shared" si="35"/>
        <v>15.796666666666667</v>
      </c>
      <c r="AB87" s="48">
        <f>AB86</f>
        <v>39906</v>
      </c>
    </row>
    <row r="88" spans="1:28" x14ac:dyDescent="0.3">
      <c r="A88" s="33">
        <v>88</v>
      </c>
      <c r="B88" s="34">
        <v>55</v>
      </c>
      <c r="C88" s="22" t="s">
        <v>217</v>
      </c>
      <c r="D88" s="22" t="s">
        <v>220</v>
      </c>
      <c r="E88" s="22" t="s">
        <v>315</v>
      </c>
      <c r="F88" s="22">
        <v>545</v>
      </c>
      <c r="G88" s="22" t="s">
        <v>221</v>
      </c>
      <c r="H88" s="22" t="s">
        <v>423</v>
      </c>
      <c r="I88" s="23">
        <v>45322</v>
      </c>
      <c r="J88" s="23">
        <f>EDATE(I88,K88)</f>
        <v>45991</v>
      </c>
      <c r="K88" s="22">
        <v>22</v>
      </c>
      <c r="L88" s="35">
        <f ca="1">IF(J88 &lt; TODAY(), -DATEDIF(J88, TODAY(), "M"), DATEDIF(TODAY(), J88, "M"))</f>
        <v>-5</v>
      </c>
      <c r="N88" s="5">
        <v>92</v>
      </c>
      <c r="O88" s="20">
        <v>141</v>
      </c>
      <c r="P88" s="10" t="s">
        <v>163</v>
      </c>
      <c r="Q88" s="10" t="s">
        <v>164</v>
      </c>
      <c r="R88" s="10" t="s">
        <v>314</v>
      </c>
      <c r="S88" s="10">
        <v>96</v>
      </c>
      <c r="T88" s="10" t="s">
        <v>165</v>
      </c>
      <c r="U88" s="46" t="s">
        <v>442</v>
      </c>
      <c r="V88" s="11">
        <v>41611</v>
      </c>
      <c r="W88" s="10">
        <v>30428</v>
      </c>
      <c r="X88" s="10">
        <v>60000</v>
      </c>
      <c r="Y88" s="10">
        <f t="shared" si="33"/>
        <v>90428</v>
      </c>
      <c r="Z88" s="47">
        <f t="shared" si="34"/>
        <v>50522</v>
      </c>
      <c r="AA88" s="47">
        <f t="shared" si="35"/>
        <v>15.796666666666667</v>
      </c>
      <c r="AB88" s="48">
        <f>AB87</f>
        <v>39906</v>
      </c>
    </row>
    <row r="89" spans="1:28" x14ac:dyDescent="0.3">
      <c r="A89" s="5">
        <v>89</v>
      </c>
      <c r="B89" s="34">
        <v>55</v>
      </c>
      <c r="C89" s="22" t="s">
        <v>217</v>
      </c>
      <c r="D89" s="22" t="s">
        <v>220</v>
      </c>
      <c r="E89" s="22" t="s">
        <v>315</v>
      </c>
      <c r="F89" s="22">
        <v>545</v>
      </c>
      <c r="G89" s="22" t="s">
        <v>221</v>
      </c>
      <c r="H89" s="22" t="s">
        <v>422</v>
      </c>
      <c r="I89" s="23">
        <v>45412</v>
      </c>
      <c r="J89" s="23">
        <f>EDATE(I89,K89)</f>
        <v>46081</v>
      </c>
      <c r="K89" s="22">
        <v>22</v>
      </c>
      <c r="L89" s="35">
        <f ca="1">IF(J89 &lt; TODAY(), -DATEDIF(J89, TODAY(), "M"), DATEDIF(TODAY(), J89, "M"))</f>
        <v>-2</v>
      </c>
      <c r="N89">
        <v>93</v>
      </c>
      <c r="O89" s="20">
        <v>141</v>
      </c>
      <c r="P89" s="10" t="s">
        <v>163</v>
      </c>
      <c r="Q89" s="10" t="s">
        <v>164</v>
      </c>
      <c r="R89" s="10" t="s">
        <v>314</v>
      </c>
      <c r="S89" s="10">
        <v>96</v>
      </c>
      <c r="T89" s="10" t="s">
        <v>165</v>
      </c>
      <c r="U89" s="46" t="s">
        <v>442</v>
      </c>
      <c r="V89" s="11">
        <v>41611</v>
      </c>
      <c r="W89" s="10">
        <v>30428</v>
      </c>
      <c r="X89" s="10">
        <v>60000</v>
      </c>
      <c r="Y89" s="10">
        <f t="shared" si="33"/>
        <v>90428</v>
      </c>
      <c r="Z89" s="47">
        <f t="shared" si="34"/>
        <v>50522</v>
      </c>
      <c r="AA89" s="47">
        <f t="shared" si="35"/>
        <v>15.796666666666667</v>
      </c>
      <c r="AB89" s="48">
        <f>AB88</f>
        <v>39906</v>
      </c>
    </row>
    <row r="90" spans="1:28" x14ac:dyDescent="0.3">
      <c r="A90" s="5">
        <v>90</v>
      </c>
      <c r="B90" s="36">
        <v>55</v>
      </c>
      <c r="C90" s="26" t="s">
        <v>217</v>
      </c>
      <c r="D90" s="26" t="s">
        <v>220</v>
      </c>
      <c r="E90" s="26" t="s">
        <v>315</v>
      </c>
      <c r="F90" s="26">
        <v>545</v>
      </c>
      <c r="G90" s="26" t="s">
        <v>221</v>
      </c>
      <c r="H90" s="26" t="s">
        <v>422</v>
      </c>
      <c r="I90" s="27">
        <v>45412</v>
      </c>
      <c r="J90" s="27">
        <f>EDATE(I90,K90)</f>
        <v>46081</v>
      </c>
      <c r="K90" s="26">
        <v>22</v>
      </c>
      <c r="L90" s="37">
        <f ca="1">IF(J90 &lt; TODAY(), -DATEDIF(J90, TODAY(), "M"), DATEDIF(TODAY(), J90, "M"))</f>
        <v>-2</v>
      </c>
      <c r="N90" s="5">
        <v>94</v>
      </c>
      <c r="O90" s="20" t="s">
        <v>431</v>
      </c>
      <c r="P90" s="10" t="s">
        <v>431</v>
      </c>
      <c r="Q90" s="10" t="s">
        <v>431</v>
      </c>
      <c r="R90" s="10" t="s">
        <v>431</v>
      </c>
      <c r="S90" s="10" t="s">
        <v>431</v>
      </c>
      <c r="T90" s="10" t="s">
        <v>431</v>
      </c>
      <c r="U90" s="10" t="s">
        <v>431</v>
      </c>
      <c r="V90" s="11" t="s">
        <v>431</v>
      </c>
      <c r="W90" s="11" t="s">
        <v>431</v>
      </c>
      <c r="X90" s="10" t="s">
        <v>431</v>
      </c>
      <c r="Y90" s="10" t="s">
        <v>431</v>
      </c>
      <c r="Z90" s="47" t="s">
        <v>431</v>
      </c>
      <c r="AA90" s="47" t="s">
        <v>431</v>
      </c>
      <c r="AB90" s="48" t="s">
        <v>431</v>
      </c>
    </row>
    <row r="91" spans="1:28" customFormat="1" x14ac:dyDescent="0.3">
      <c r="A91" s="33">
        <v>91</v>
      </c>
      <c r="B91" s="38" t="s">
        <v>431</v>
      </c>
      <c r="C91" s="32" t="s">
        <v>431</v>
      </c>
      <c r="D91" s="32" t="s">
        <v>431</v>
      </c>
      <c r="E91" s="32" t="s">
        <v>431</v>
      </c>
      <c r="F91" s="32" t="s">
        <v>431</v>
      </c>
      <c r="G91" s="32" t="s">
        <v>431</v>
      </c>
      <c r="H91" s="31" t="s">
        <v>431</v>
      </c>
      <c r="I91" s="32" t="s">
        <v>431</v>
      </c>
      <c r="J91" s="32" t="s">
        <v>431</v>
      </c>
      <c r="K91" s="32" t="s">
        <v>431</v>
      </c>
      <c r="L91" s="39" t="s">
        <v>431</v>
      </c>
      <c r="N91">
        <v>95</v>
      </c>
      <c r="O91" s="20">
        <v>142</v>
      </c>
      <c r="P91" s="10" t="s">
        <v>263</v>
      </c>
      <c r="Q91" s="10" t="s">
        <v>270</v>
      </c>
      <c r="R91" s="10" t="s">
        <v>313</v>
      </c>
      <c r="S91" s="10">
        <v>648</v>
      </c>
      <c r="T91" s="10" t="s">
        <v>271</v>
      </c>
      <c r="U91" s="46" t="s">
        <v>442</v>
      </c>
      <c r="V91" s="11">
        <v>43663</v>
      </c>
      <c r="W91" s="10">
        <v>71105</v>
      </c>
      <c r="X91" s="10">
        <v>60000</v>
      </c>
      <c r="Y91" s="10">
        <f t="shared" ref="Y91:Y96" si="36">W91+X91</f>
        <v>131105</v>
      </c>
      <c r="Z91" s="47">
        <f t="shared" ref="Z91:Z96" si="37">Y91-AB91</f>
        <v>51820</v>
      </c>
      <c r="AA91" s="47">
        <f t="shared" ref="AA91:AA96" si="38">(AB91-W91)/X91*100</f>
        <v>13.633333333333333</v>
      </c>
      <c r="AB91" s="48">
        <v>79285</v>
      </c>
    </row>
    <row r="92" spans="1:28" x14ac:dyDescent="0.3">
      <c r="A92" s="5">
        <v>92</v>
      </c>
      <c r="B92" s="40">
        <v>67</v>
      </c>
      <c r="C92" s="28" t="s">
        <v>250</v>
      </c>
      <c r="D92" s="28" t="s">
        <v>292</v>
      </c>
      <c r="E92" s="28" t="s">
        <v>329</v>
      </c>
      <c r="F92" s="28">
        <v>329</v>
      </c>
      <c r="G92" s="28" t="s">
        <v>293</v>
      </c>
      <c r="H92" s="28"/>
      <c r="I92" s="29">
        <v>1</v>
      </c>
      <c r="J92" s="29">
        <f>EDATE(I92,K92)</f>
        <v>671</v>
      </c>
      <c r="K92" s="28">
        <v>22</v>
      </c>
      <c r="L92" s="41">
        <f ca="1">IF(J92 &lt; TODAY(), -DATEDIF(J92, TODAY(), "M"), DATEDIF(TODAY(), J92, "M"))</f>
        <v>-1494</v>
      </c>
      <c r="N92" s="5">
        <v>96</v>
      </c>
      <c r="O92" s="20">
        <v>142</v>
      </c>
      <c r="P92" s="10" t="s">
        <v>263</v>
      </c>
      <c r="Q92" s="10" t="s">
        <v>270</v>
      </c>
      <c r="R92" s="10" t="s">
        <v>313</v>
      </c>
      <c r="S92" s="10">
        <v>648</v>
      </c>
      <c r="T92" s="10" t="s">
        <v>271</v>
      </c>
      <c r="U92" s="46" t="s">
        <v>442</v>
      </c>
      <c r="V92" s="11">
        <v>43663</v>
      </c>
      <c r="W92" s="10">
        <v>71105</v>
      </c>
      <c r="X92" s="10">
        <v>60000</v>
      </c>
      <c r="Y92" s="10">
        <f t="shared" si="36"/>
        <v>131105</v>
      </c>
      <c r="Z92" s="47">
        <f t="shared" si="37"/>
        <v>51820</v>
      </c>
      <c r="AA92" s="47">
        <f t="shared" si="38"/>
        <v>13.633333333333333</v>
      </c>
      <c r="AB92" s="48">
        <f>AB91</f>
        <v>79285</v>
      </c>
    </row>
    <row r="93" spans="1:28" x14ac:dyDescent="0.3">
      <c r="A93" s="5">
        <v>93</v>
      </c>
      <c r="B93" s="34">
        <v>67</v>
      </c>
      <c r="C93" s="22" t="s">
        <v>250</v>
      </c>
      <c r="D93" s="22" t="s">
        <v>292</v>
      </c>
      <c r="E93" s="22" t="s">
        <v>329</v>
      </c>
      <c r="F93" s="22">
        <v>329</v>
      </c>
      <c r="G93" s="22" t="s">
        <v>293</v>
      </c>
      <c r="H93" s="22"/>
      <c r="I93" s="23">
        <v>1</v>
      </c>
      <c r="J93" s="23">
        <f>EDATE(I93,K93)</f>
        <v>671</v>
      </c>
      <c r="K93" s="22">
        <v>22</v>
      </c>
      <c r="L93" s="35">
        <f ca="1">IF(J93 &lt; TODAY(), -DATEDIF(J93, TODAY(), "M"), DATEDIF(TODAY(), J93, "M"))</f>
        <v>-1494</v>
      </c>
      <c r="N93">
        <v>97</v>
      </c>
      <c r="O93" s="20">
        <v>142</v>
      </c>
      <c r="P93" s="10" t="s">
        <v>263</v>
      </c>
      <c r="Q93" s="10" t="s">
        <v>270</v>
      </c>
      <c r="R93" s="10" t="s">
        <v>313</v>
      </c>
      <c r="S93" s="10">
        <v>648</v>
      </c>
      <c r="T93" s="10" t="s">
        <v>271</v>
      </c>
      <c r="U93" s="46" t="s">
        <v>442</v>
      </c>
      <c r="V93" s="11">
        <v>43966</v>
      </c>
      <c r="W93" s="10">
        <v>71105</v>
      </c>
      <c r="X93" s="10">
        <v>60000</v>
      </c>
      <c r="Y93" s="10">
        <f t="shared" si="36"/>
        <v>131105</v>
      </c>
      <c r="Z93" s="47">
        <f t="shared" si="37"/>
        <v>51820</v>
      </c>
      <c r="AA93" s="47">
        <f t="shared" si="38"/>
        <v>13.633333333333333</v>
      </c>
      <c r="AB93" s="48">
        <f>AB92</f>
        <v>79285</v>
      </c>
    </row>
    <row r="94" spans="1:28" x14ac:dyDescent="0.3">
      <c r="A94" s="33">
        <v>94</v>
      </c>
      <c r="B94" s="34">
        <v>67</v>
      </c>
      <c r="C94" s="22" t="s">
        <v>250</v>
      </c>
      <c r="D94" s="22" t="s">
        <v>292</v>
      </c>
      <c r="E94" s="22" t="s">
        <v>329</v>
      </c>
      <c r="F94" s="22">
        <v>329</v>
      </c>
      <c r="G94" s="22" t="s">
        <v>293</v>
      </c>
      <c r="H94" s="22"/>
      <c r="I94" s="23">
        <v>1</v>
      </c>
      <c r="J94" s="23">
        <f>EDATE(I94,K94)</f>
        <v>671</v>
      </c>
      <c r="K94" s="22">
        <v>22</v>
      </c>
      <c r="L94" s="35">
        <f ca="1">IF(J94 &lt; TODAY(), -DATEDIF(J94, TODAY(), "M"), DATEDIF(TODAY(), J94, "M"))</f>
        <v>-1494</v>
      </c>
      <c r="N94" s="5">
        <v>98</v>
      </c>
      <c r="O94" s="20">
        <v>142</v>
      </c>
      <c r="P94" s="10" t="s">
        <v>263</v>
      </c>
      <c r="Q94" s="10" t="s">
        <v>270</v>
      </c>
      <c r="R94" s="10" t="s">
        <v>313</v>
      </c>
      <c r="S94" s="10">
        <v>648</v>
      </c>
      <c r="T94" s="10" t="s">
        <v>271</v>
      </c>
      <c r="U94" s="46" t="s">
        <v>442</v>
      </c>
      <c r="V94" s="11">
        <v>43966</v>
      </c>
      <c r="W94" s="10">
        <v>71105</v>
      </c>
      <c r="X94" s="10">
        <v>60000</v>
      </c>
      <c r="Y94" s="10">
        <f t="shared" si="36"/>
        <v>131105</v>
      </c>
      <c r="Z94" s="47">
        <f t="shared" si="37"/>
        <v>51820</v>
      </c>
      <c r="AA94" s="47">
        <f t="shared" si="38"/>
        <v>13.633333333333333</v>
      </c>
      <c r="AB94" s="48">
        <f>AB93</f>
        <v>79285</v>
      </c>
    </row>
    <row r="95" spans="1:28" x14ac:dyDescent="0.3">
      <c r="A95" s="5">
        <v>95</v>
      </c>
      <c r="B95" s="36">
        <v>67</v>
      </c>
      <c r="C95" s="26" t="s">
        <v>250</v>
      </c>
      <c r="D95" s="26" t="s">
        <v>292</v>
      </c>
      <c r="E95" s="26" t="s">
        <v>329</v>
      </c>
      <c r="F95" s="26">
        <v>329</v>
      </c>
      <c r="G95" s="26" t="s">
        <v>293</v>
      </c>
      <c r="H95" s="26"/>
      <c r="I95" s="27">
        <v>1</v>
      </c>
      <c r="J95" s="27">
        <f>EDATE(I95,K95)</f>
        <v>671</v>
      </c>
      <c r="K95" s="26">
        <v>22</v>
      </c>
      <c r="L95" s="37">
        <f ca="1">IF(J95 &lt; TODAY(), -DATEDIF(J95, TODAY(), "M"), DATEDIF(TODAY(), J95, "M"))</f>
        <v>-1494</v>
      </c>
      <c r="N95">
        <v>99</v>
      </c>
      <c r="O95" s="20">
        <v>142</v>
      </c>
      <c r="P95" s="10" t="s">
        <v>263</v>
      </c>
      <c r="Q95" s="10" t="s">
        <v>270</v>
      </c>
      <c r="R95" s="10" t="s">
        <v>313</v>
      </c>
      <c r="S95" s="10">
        <v>648</v>
      </c>
      <c r="T95" s="10" t="s">
        <v>271</v>
      </c>
      <c r="U95" s="46" t="s">
        <v>442</v>
      </c>
      <c r="V95" s="11">
        <v>45809</v>
      </c>
      <c r="W95" s="10">
        <v>76299</v>
      </c>
      <c r="X95" s="10">
        <v>40000</v>
      </c>
      <c r="Y95" s="10">
        <f t="shared" si="36"/>
        <v>116299</v>
      </c>
      <c r="Z95" s="47">
        <f t="shared" si="37"/>
        <v>37014</v>
      </c>
      <c r="AA95" s="47">
        <f t="shared" si="38"/>
        <v>7.4649999999999999</v>
      </c>
      <c r="AB95" s="48">
        <f>AB94</f>
        <v>79285</v>
      </c>
    </row>
    <row r="96" spans="1:28" customFormat="1" x14ac:dyDescent="0.3">
      <c r="A96" s="5">
        <v>96</v>
      </c>
      <c r="B96" s="38" t="s">
        <v>431</v>
      </c>
      <c r="C96" s="32" t="s">
        <v>431</v>
      </c>
      <c r="D96" s="32" t="s">
        <v>431</v>
      </c>
      <c r="E96" s="32" t="s">
        <v>431</v>
      </c>
      <c r="F96" s="32" t="s">
        <v>431</v>
      </c>
      <c r="G96" s="32" t="s">
        <v>431</v>
      </c>
      <c r="H96" s="31" t="s">
        <v>431</v>
      </c>
      <c r="I96" s="32" t="s">
        <v>431</v>
      </c>
      <c r="J96" s="32" t="s">
        <v>431</v>
      </c>
      <c r="K96" s="32" t="s">
        <v>431</v>
      </c>
      <c r="L96" s="39" t="s">
        <v>431</v>
      </c>
      <c r="N96">
        <v>100</v>
      </c>
      <c r="O96" s="20">
        <v>142</v>
      </c>
      <c r="P96" s="10" t="s">
        <v>263</v>
      </c>
      <c r="Q96" s="10" t="s">
        <v>270</v>
      </c>
      <c r="R96" s="10" t="s">
        <v>313</v>
      </c>
      <c r="S96" s="10">
        <v>648</v>
      </c>
      <c r="T96" s="10" t="s">
        <v>271</v>
      </c>
      <c r="U96" s="46" t="s">
        <v>442</v>
      </c>
      <c r="V96" s="11">
        <v>45809</v>
      </c>
      <c r="W96" s="10">
        <v>76299</v>
      </c>
      <c r="X96" s="10">
        <v>40000</v>
      </c>
      <c r="Y96" s="10">
        <f t="shared" si="36"/>
        <v>116299</v>
      </c>
      <c r="Z96" s="47">
        <f t="shared" si="37"/>
        <v>37014</v>
      </c>
      <c r="AA96" s="47">
        <f t="shared" si="38"/>
        <v>7.4649999999999999</v>
      </c>
      <c r="AB96" s="48">
        <f>AB95</f>
        <v>79285</v>
      </c>
    </row>
    <row r="97" spans="1:28" x14ac:dyDescent="0.3">
      <c r="A97" s="33">
        <v>97</v>
      </c>
      <c r="B97" s="40">
        <v>68</v>
      </c>
      <c r="C97" s="28" t="s">
        <v>274</v>
      </c>
      <c r="D97" s="28" t="s">
        <v>301</v>
      </c>
      <c r="E97" s="28" t="s">
        <v>362</v>
      </c>
      <c r="F97" s="28">
        <v>362</v>
      </c>
      <c r="G97" s="28" t="s">
        <v>302</v>
      </c>
      <c r="H97" s="28"/>
      <c r="I97" s="29">
        <v>1</v>
      </c>
      <c r="J97" s="29">
        <f>EDATE(I97,K97)</f>
        <v>671</v>
      </c>
      <c r="K97" s="28">
        <v>22</v>
      </c>
      <c r="L97" s="41">
        <f ca="1">IF(J97 &lt; TODAY(), -DATEDIF(J97, TODAY(), "M"), DATEDIF(TODAY(), J97, "M"))</f>
        <v>-1494</v>
      </c>
      <c r="N97">
        <v>101</v>
      </c>
      <c r="O97" s="20" t="s">
        <v>431</v>
      </c>
      <c r="P97" s="10" t="s">
        <v>431</v>
      </c>
      <c r="Q97" s="10" t="s">
        <v>431</v>
      </c>
      <c r="R97" s="10" t="s">
        <v>431</v>
      </c>
      <c r="S97" s="10" t="s">
        <v>431</v>
      </c>
      <c r="T97" s="10" t="s">
        <v>431</v>
      </c>
      <c r="U97" s="10" t="s">
        <v>431</v>
      </c>
      <c r="V97" s="11" t="s">
        <v>431</v>
      </c>
      <c r="W97" s="11" t="s">
        <v>431</v>
      </c>
      <c r="X97" s="10" t="s">
        <v>431</v>
      </c>
      <c r="Y97" s="10" t="s">
        <v>431</v>
      </c>
      <c r="Z97" s="47" t="s">
        <v>431</v>
      </c>
      <c r="AA97" s="47" t="s">
        <v>431</v>
      </c>
      <c r="AB97" s="48" t="s">
        <v>431</v>
      </c>
    </row>
    <row r="98" spans="1:28" x14ac:dyDescent="0.3">
      <c r="A98" s="5">
        <v>98</v>
      </c>
      <c r="B98" s="34">
        <v>68</v>
      </c>
      <c r="C98" s="22" t="s">
        <v>274</v>
      </c>
      <c r="D98" s="22" t="s">
        <v>301</v>
      </c>
      <c r="E98" s="22" t="s">
        <v>362</v>
      </c>
      <c r="F98" s="22">
        <v>362</v>
      </c>
      <c r="G98" s="22" t="s">
        <v>302</v>
      </c>
      <c r="H98" s="22"/>
      <c r="I98" s="23">
        <v>1</v>
      </c>
      <c r="J98" s="23">
        <f>EDATE(I98,K98)</f>
        <v>671</v>
      </c>
      <c r="K98" s="22">
        <v>22</v>
      </c>
      <c r="L98" s="35">
        <f ca="1">IF(J98 &lt; TODAY(), -DATEDIF(J98, TODAY(), "M"), DATEDIF(TODAY(), J98, "M"))</f>
        <v>-1494</v>
      </c>
      <c r="N98" s="5">
        <v>102</v>
      </c>
      <c r="O98" s="20">
        <v>143</v>
      </c>
      <c r="P98" s="10" t="s">
        <v>157</v>
      </c>
      <c r="Q98" s="10" t="s">
        <v>158</v>
      </c>
      <c r="R98" s="10" t="s">
        <v>313</v>
      </c>
      <c r="S98" s="10">
        <v>443</v>
      </c>
      <c r="T98" s="10" t="s">
        <v>159</v>
      </c>
      <c r="U98" s="46" t="s">
        <v>443</v>
      </c>
      <c r="V98" s="11">
        <v>45809</v>
      </c>
      <c r="W98" s="10">
        <v>73407</v>
      </c>
      <c r="X98" s="10">
        <v>41000</v>
      </c>
      <c r="Y98" s="10">
        <f>W98+X98</f>
        <v>114407</v>
      </c>
      <c r="Z98" s="47">
        <f>Y98-AB98</f>
        <v>33760</v>
      </c>
      <c r="AA98" s="47">
        <f>(AB98-W98)/X98*100</f>
        <v>17.658536585365852</v>
      </c>
      <c r="AB98" s="48">
        <v>80647</v>
      </c>
    </row>
    <row r="99" spans="1:28" x14ac:dyDescent="0.3">
      <c r="A99" s="5">
        <v>99</v>
      </c>
      <c r="B99" s="34">
        <v>68</v>
      </c>
      <c r="C99" s="22" t="s">
        <v>274</v>
      </c>
      <c r="D99" s="22" t="s">
        <v>301</v>
      </c>
      <c r="E99" s="22" t="s">
        <v>362</v>
      </c>
      <c r="F99" s="22">
        <v>362</v>
      </c>
      <c r="G99" s="22" t="s">
        <v>302</v>
      </c>
      <c r="H99" s="22"/>
      <c r="I99" s="23">
        <v>1</v>
      </c>
      <c r="J99" s="23">
        <f>EDATE(I99,K99)</f>
        <v>671</v>
      </c>
      <c r="K99" s="22">
        <v>22</v>
      </c>
      <c r="L99" s="35">
        <f ca="1">IF(J99 &lt; TODAY(), -DATEDIF(J99, TODAY(), "M"), DATEDIF(TODAY(), J99, "M"))</f>
        <v>-1494</v>
      </c>
      <c r="N99">
        <v>103</v>
      </c>
      <c r="O99" s="20">
        <v>143</v>
      </c>
      <c r="P99" s="10" t="s">
        <v>157</v>
      </c>
      <c r="Q99" s="10" t="s">
        <v>158</v>
      </c>
      <c r="R99" s="10" t="s">
        <v>313</v>
      </c>
      <c r="S99" s="10">
        <v>443</v>
      </c>
      <c r="T99" s="10" t="s">
        <v>159</v>
      </c>
      <c r="U99" s="46" t="s">
        <v>443</v>
      </c>
      <c r="V99" s="11">
        <v>45809</v>
      </c>
      <c r="W99" s="10">
        <v>73407</v>
      </c>
      <c r="X99" s="10">
        <v>41000</v>
      </c>
      <c r="Y99" s="10">
        <f>W99+X99</f>
        <v>114407</v>
      </c>
      <c r="Z99" s="47">
        <f>Y99-AB99</f>
        <v>33760</v>
      </c>
      <c r="AA99" s="47">
        <f>(AB99-W99)/X99*100</f>
        <v>17.658536585365852</v>
      </c>
      <c r="AB99" s="48">
        <f>AB98</f>
        <v>80647</v>
      </c>
    </row>
    <row r="100" spans="1:28" x14ac:dyDescent="0.3">
      <c r="A100" s="33">
        <v>100</v>
      </c>
      <c r="B100" s="36">
        <v>68</v>
      </c>
      <c r="C100" s="26" t="s">
        <v>274</v>
      </c>
      <c r="D100" s="26" t="s">
        <v>301</v>
      </c>
      <c r="E100" s="26" t="s">
        <v>362</v>
      </c>
      <c r="F100" s="26">
        <v>362</v>
      </c>
      <c r="G100" s="26" t="s">
        <v>302</v>
      </c>
      <c r="H100" s="26"/>
      <c r="I100" s="27">
        <v>1</v>
      </c>
      <c r="J100" s="27">
        <f>EDATE(I100,K100)</f>
        <v>671</v>
      </c>
      <c r="K100" s="26">
        <v>22</v>
      </c>
      <c r="L100" s="37">
        <f ca="1">IF(J100 &lt; TODAY(), -DATEDIF(J100, TODAY(), "M"), DATEDIF(TODAY(), J100, "M"))</f>
        <v>-1494</v>
      </c>
      <c r="N100" s="5">
        <v>104</v>
      </c>
      <c r="O100" s="20">
        <v>143</v>
      </c>
      <c r="P100" s="10" t="s">
        <v>157</v>
      </c>
      <c r="Q100" s="10" t="s">
        <v>158</v>
      </c>
      <c r="R100" s="10" t="s">
        <v>313</v>
      </c>
      <c r="S100" s="10">
        <v>443</v>
      </c>
      <c r="T100" s="10" t="s">
        <v>159</v>
      </c>
      <c r="U100" s="46" t="s">
        <v>443</v>
      </c>
      <c r="V100" s="11">
        <v>45809</v>
      </c>
      <c r="W100" s="10">
        <v>73407</v>
      </c>
      <c r="X100" s="10">
        <v>41000</v>
      </c>
      <c r="Y100" s="10">
        <f>W100+X100</f>
        <v>114407</v>
      </c>
      <c r="Z100" s="47">
        <f>Y100-AB100</f>
        <v>33760</v>
      </c>
      <c r="AA100" s="47">
        <f>(AB100-W100)/X100*100</f>
        <v>17.658536585365852</v>
      </c>
      <c r="AB100" s="48">
        <f>AB99</f>
        <v>80647</v>
      </c>
    </row>
    <row r="101" spans="1:28" customFormat="1" x14ac:dyDescent="0.3">
      <c r="A101" s="5">
        <v>101</v>
      </c>
      <c r="B101" s="38" t="s">
        <v>431</v>
      </c>
      <c r="C101" s="32" t="s">
        <v>431</v>
      </c>
      <c r="D101" s="32" t="s">
        <v>431</v>
      </c>
      <c r="E101" s="32" t="s">
        <v>431</v>
      </c>
      <c r="F101" s="32" t="s">
        <v>431</v>
      </c>
      <c r="G101" s="32" t="s">
        <v>431</v>
      </c>
      <c r="H101" s="31" t="s">
        <v>431</v>
      </c>
      <c r="I101" s="32" t="s">
        <v>431</v>
      </c>
      <c r="J101" s="32" t="s">
        <v>431</v>
      </c>
      <c r="K101" s="32" t="s">
        <v>431</v>
      </c>
      <c r="L101" s="39" t="s">
        <v>431</v>
      </c>
      <c r="N101">
        <v>105</v>
      </c>
      <c r="O101" s="20">
        <v>143</v>
      </c>
      <c r="P101" s="10" t="s">
        <v>157</v>
      </c>
      <c r="Q101" s="10" t="s">
        <v>158</v>
      </c>
      <c r="R101" s="10" t="s">
        <v>313</v>
      </c>
      <c r="S101" s="10">
        <v>443</v>
      </c>
      <c r="T101" s="10" t="s">
        <v>159</v>
      </c>
      <c r="U101" s="46" t="s">
        <v>443</v>
      </c>
      <c r="V101" s="11">
        <v>45809</v>
      </c>
      <c r="W101" s="10">
        <v>73407</v>
      </c>
      <c r="X101" s="10">
        <v>41000</v>
      </c>
      <c r="Y101" s="10">
        <f>W101+X101</f>
        <v>114407</v>
      </c>
      <c r="Z101" s="47">
        <f>Y101-AB101</f>
        <v>33760</v>
      </c>
      <c r="AA101" s="47">
        <f>(AB101-W101)/X101*100</f>
        <v>17.658536585365852</v>
      </c>
      <c r="AB101" s="48">
        <f>AB100</f>
        <v>80647</v>
      </c>
    </row>
    <row r="102" spans="1:28" x14ac:dyDescent="0.3">
      <c r="A102" s="5">
        <v>102</v>
      </c>
      <c r="B102" s="40">
        <v>69</v>
      </c>
      <c r="C102" s="28" t="s">
        <v>250</v>
      </c>
      <c r="D102" s="28" t="s">
        <v>327</v>
      </c>
      <c r="E102" s="28" t="s">
        <v>315</v>
      </c>
      <c r="F102" s="28">
        <v>322</v>
      </c>
      <c r="G102" s="28" t="s">
        <v>328</v>
      </c>
      <c r="H102" s="28" t="s">
        <v>426</v>
      </c>
      <c r="I102" s="29">
        <v>45535</v>
      </c>
      <c r="J102" s="29">
        <f>EDATE(I102,K102)</f>
        <v>46203</v>
      </c>
      <c r="K102" s="28">
        <v>22</v>
      </c>
      <c r="L102" s="41">
        <f ca="1">IF(J102 &lt; TODAY(), -DATEDIF(J102, TODAY(), "M"), DATEDIF(TODAY(), J102, "M"))</f>
        <v>1</v>
      </c>
      <c r="N102" s="5">
        <v>108</v>
      </c>
      <c r="O102" s="20" t="s">
        <v>431</v>
      </c>
      <c r="P102" s="10" t="s">
        <v>431</v>
      </c>
      <c r="Q102" s="10" t="s">
        <v>431</v>
      </c>
      <c r="R102" s="10" t="s">
        <v>431</v>
      </c>
      <c r="S102" s="10" t="s">
        <v>431</v>
      </c>
      <c r="T102" s="10" t="s">
        <v>431</v>
      </c>
      <c r="U102" s="10" t="s">
        <v>431</v>
      </c>
      <c r="V102" s="11" t="s">
        <v>431</v>
      </c>
      <c r="W102" s="11" t="s">
        <v>431</v>
      </c>
      <c r="X102" s="10" t="s">
        <v>431</v>
      </c>
      <c r="Y102" s="10" t="s">
        <v>431</v>
      </c>
      <c r="Z102" s="47" t="s">
        <v>431</v>
      </c>
      <c r="AA102" s="47" t="s">
        <v>431</v>
      </c>
      <c r="AB102" s="48" t="s">
        <v>431</v>
      </c>
    </row>
    <row r="103" spans="1:28" x14ac:dyDescent="0.3">
      <c r="A103" s="5">
        <v>103</v>
      </c>
      <c r="B103" s="34">
        <v>69</v>
      </c>
      <c r="C103" s="22" t="s">
        <v>250</v>
      </c>
      <c r="D103" s="22" t="s">
        <v>327</v>
      </c>
      <c r="E103" s="22" t="s">
        <v>315</v>
      </c>
      <c r="F103" s="22">
        <v>322</v>
      </c>
      <c r="G103" s="22" t="s">
        <v>328</v>
      </c>
      <c r="H103" s="22" t="s">
        <v>426</v>
      </c>
      <c r="I103" s="23">
        <v>45535</v>
      </c>
      <c r="J103" s="23">
        <f>EDATE(I103,K103)</f>
        <v>46203</v>
      </c>
      <c r="K103" s="22">
        <v>22</v>
      </c>
      <c r="L103" s="35">
        <f ca="1">IF(J103 &lt; TODAY(), -DATEDIF(J103, TODAY(), "M"), DATEDIF(TODAY(), J103, "M"))</f>
        <v>1</v>
      </c>
      <c r="N103">
        <v>109</v>
      </c>
      <c r="O103" s="20">
        <v>145</v>
      </c>
      <c r="P103" s="10" t="s">
        <v>163</v>
      </c>
      <c r="Q103" s="10" t="s">
        <v>168</v>
      </c>
      <c r="R103" s="10" t="s">
        <v>314</v>
      </c>
      <c r="S103" s="10">
        <v>566</v>
      </c>
      <c r="T103" s="10" t="s">
        <v>173</v>
      </c>
      <c r="U103" s="46" t="s">
        <v>438</v>
      </c>
      <c r="V103" s="11">
        <v>45688</v>
      </c>
      <c r="W103" s="10">
        <v>40670</v>
      </c>
      <c r="X103" s="10">
        <v>47000</v>
      </c>
      <c r="Y103" s="10">
        <f t="shared" ref="Y103:Y108" si="39">W103+X103</f>
        <v>87670</v>
      </c>
      <c r="Z103" s="47">
        <f t="shared" ref="Z103:Z108" si="40">Y103-AB103</f>
        <v>37294</v>
      </c>
      <c r="AA103" s="47">
        <f t="shared" ref="AA103:AA108" si="41">(AB103-W103)/X103*100</f>
        <v>20.651063829787233</v>
      </c>
      <c r="AB103" s="48">
        <v>50376</v>
      </c>
    </row>
    <row r="104" spans="1:28" x14ac:dyDescent="0.3">
      <c r="A104" s="5">
        <v>104</v>
      </c>
      <c r="B104" s="34">
        <v>69</v>
      </c>
      <c r="C104" s="22" t="s">
        <v>250</v>
      </c>
      <c r="D104" s="22" t="s">
        <v>327</v>
      </c>
      <c r="E104" s="22" t="s">
        <v>315</v>
      </c>
      <c r="F104" s="22">
        <v>322</v>
      </c>
      <c r="G104" s="22" t="s">
        <v>328</v>
      </c>
      <c r="H104" s="22" t="s">
        <v>425</v>
      </c>
      <c r="I104" s="23">
        <v>44562</v>
      </c>
      <c r="J104" s="23">
        <f>EDATE(I104,K104)</f>
        <v>45231</v>
      </c>
      <c r="K104" s="22">
        <v>22</v>
      </c>
      <c r="L104" s="35">
        <f ca="1">IF(J104 &lt; TODAY(), -DATEDIF(J104, TODAY(), "M"), DATEDIF(TODAY(), J104, "M"))</f>
        <v>-30</v>
      </c>
      <c r="N104" s="5">
        <v>110</v>
      </c>
      <c r="O104" s="20">
        <v>145</v>
      </c>
      <c r="P104" s="10" t="s">
        <v>163</v>
      </c>
      <c r="Q104" s="10" t="s">
        <v>168</v>
      </c>
      <c r="R104" s="10" t="s">
        <v>314</v>
      </c>
      <c r="S104" s="10">
        <v>566</v>
      </c>
      <c r="T104" s="10" t="s">
        <v>173</v>
      </c>
      <c r="U104" s="46" t="s">
        <v>438</v>
      </c>
      <c r="V104" s="11">
        <v>45688</v>
      </c>
      <c r="W104" s="10">
        <v>40670</v>
      </c>
      <c r="X104" s="10">
        <v>47000</v>
      </c>
      <c r="Y104" s="10">
        <f t="shared" si="39"/>
        <v>87670</v>
      </c>
      <c r="Z104" s="47">
        <f t="shared" si="40"/>
        <v>37294</v>
      </c>
      <c r="AA104" s="47">
        <f t="shared" si="41"/>
        <v>20.651063829787233</v>
      </c>
      <c r="AB104" s="48">
        <f>AB103</f>
        <v>50376</v>
      </c>
    </row>
    <row r="105" spans="1:28" x14ac:dyDescent="0.3">
      <c r="A105" s="33">
        <v>105</v>
      </c>
      <c r="B105" s="36">
        <v>69</v>
      </c>
      <c r="C105" s="26" t="s">
        <v>250</v>
      </c>
      <c r="D105" s="26" t="s">
        <v>327</v>
      </c>
      <c r="E105" s="26" t="s">
        <v>315</v>
      </c>
      <c r="F105" s="26">
        <v>322</v>
      </c>
      <c r="G105" s="26" t="s">
        <v>328</v>
      </c>
      <c r="H105" s="26" t="s">
        <v>425</v>
      </c>
      <c r="I105" s="27">
        <v>44562</v>
      </c>
      <c r="J105" s="27">
        <f>EDATE(I105,K105)</f>
        <v>45231</v>
      </c>
      <c r="K105" s="26">
        <v>22</v>
      </c>
      <c r="L105" s="37">
        <f ca="1">IF(J105 &lt; TODAY(), -DATEDIF(J105, TODAY(), "M"), DATEDIF(TODAY(), J105, "M"))</f>
        <v>-30</v>
      </c>
      <c r="N105">
        <v>111</v>
      </c>
      <c r="O105" s="20">
        <v>145</v>
      </c>
      <c r="P105" s="10" t="s">
        <v>163</v>
      </c>
      <c r="Q105" s="10" t="s">
        <v>168</v>
      </c>
      <c r="R105" s="10" t="s">
        <v>314</v>
      </c>
      <c r="S105" s="10">
        <v>566</v>
      </c>
      <c r="T105" s="10" t="s">
        <v>173</v>
      </c>
      <c r="U105" s="46" t="s">
        <v>438</v>
      </c>
      <c r="V105" s="11">
        <v>45931</v>
      </c>
      <c r="W105" s="10">
        <v>47897</v>
      </c>
      <c r="X105" s="10">
        <v>47000</v>
      </c>
      <c r="Y105" s="10">
        <f t="shared" si="39"/>
        <v>94897</v>
      </c>
      <c r="Z105" s="47">
        <f t="shared" si="40"/>
        <v>44521</v>
      </c>
      <c r="AA105" s="47">
        <f t="shared" si="41"/>
        <v>5.274468085106383</v>
      </c>
      <c r="AB105" s="48">
        <f>AB104</f>
        <v>50376</v>
      </c>
    </row>
    <row r="106" spans="1:28" customFormat="1" x14ac:dyDescent="0.3">
      <c r="A106" s="33">
        <v>106</v>
      </c>
      <c r="B106" s="38" t="s">
        <v>431</v>
      </c>
      <c r="C106" s="32" t="s">
        <v>431</v>
      </c>
      <c r="D106" s="32" t="s">
        <v>431</v>
      </c>
      <c r="E106" s="32" t="s">
        <v>431</v>
      </c>
      <c r="F106" s="32" t="s">
        <v>431</v>
      </c>
      <c r="G106" s="32" t="s">
        <v>431</v>
      </c>
      <c r="H106" s="31" t="s">
        <v>431</v>
      </c>
      <c r="I106" s="32" t="s">
        <v>431</v>
      </c>
      <c r="J106" s="32" t="s">
        <v>431</v>
      </c>
      <c r="K106" s="32" t="s">
        <v>431</v>
      </c>
      <c r="L106" s="39" t="s">
        <v>431</v>
      </c>
      <c r="N106" s="5">
        <v>112</v>
      </c>
      <c r="O106" s="20">
        <v>145</v>
      </c>
      <c r="P106" s="10" t="s">
        <v>163</v>
      </c>
      <c r="Q106" s="10" t="s">
        <v>168</v>
      </c>
      <c r="R106" s="10" t="s">
        <v>314</v>
      </c>
      <c r="S106" s="10">
        <v>566</v>
      </c>
      <c r="T106" s="10" t="s">
        <v>173</v>
      </c>
      <c r="U106" s="46" t="s">
        <v>438</v>
      </c>
      <c r="V106" s="11">
        <v>45931</v>
      </c>
      <c r="W106" s="10">
        <v>47897</v>
      </c>
      <c r="X106" s="10">
        <v>47000</v>
      </c>
      <c r="Y106" s="10">
        <f t="shared" si="39"/>
        <v>94897</v>
      </c>
      <c r="Z106" s="47">
        <f t="shared" si="40"/>
        <v>44521</v>
      </c>
      <c r="AA106" s="47">
        <f t="shared" si="41"/>
        <v>5.274468085106383</v>
      </c>
      <c r="AB106" s="48">
        <f>AB105</f>
        <v>50376</v>
      </c>
    </row>
    <row r="107" spans="1:28" x14ac:dyDescent="0.3">
      <c r="A107" s="5">
        <v>107</v>
      </c>
      <c r="B107" s="40">
        <v>72</v>
      </c>
      <c r="C107" s="28" t="s">
        <v>217</v>
      </c>
      <c r="D107" s="28" t="s">
        <v>224</v>
      </c>
      <c r="E107" s="28" t="s">
        <v>225</v>
      </c>
      <c r="F107" s="28" t="s">
        <v>403</v>
      </c>
      <c r="G107" s="28" t="s">
        <v>225</v>
      </c>
      <c r="H107" s="28" t="s">
        <v>427</v>
      </c>
      <c r="I107" s="29">
        <v>43252</v>
      </c>
      <c r="J107" s="29">
        <f>EDATE(I107,K107)</f>
        <v>43922</v>
      </c>
      <c r="K107" s="28">
        <v>22</v>
      </c>
      <c r="L107" s="41">
        <f ca="1">IF(J107 &lt; TODAY(), -DATEDIF(J107, TODAY(), "M"), DATEDIF(TODAY(), J107, "M"))</f>
        <v>-73</v>
      </c>
      <c r="N107">
        <v>113</v>
      </c>
      <c r="O107" s="20">
        <v>145</v>
      </c>
      <c r="P107" s="10" t="s">
        <v>163</v>
      </c>
      <c r="Q107" s="10" t="s">
        <v>168</v>
      </c>
      <c r="R107" s="10" t="s">
        <v>314</v>
      </c>
      <c r="S107" s="10">
        <v>566</v>
      </c>
      <c r="T107" s="10" t="s">
        <v>173</v>
      </c>
      <c r="U107" s="46" t="s">
        <v>438</v>
      </c>
      <c r="V107" s="11">
        <v>45931</v>
      </c>
      <c r="W107" s="10">
        <v>47897</v>
      </c>
      <c r="X107" s="10">
        <v>47000</v>
      </c>
      <c r="Y107" s="10">
        <f t="shared" si="39"/>
        <v>94897</v>
      </c>
      <c r="Z107" s="47">
        <f t="shared" si="40"/>
        <v>44521</v>
      </c>
      <c r="AA107" s="47">
        <f t="shared" si="41"/>
        <v>5.274468085106383</v>
      </c>
      <c r="AB107" s="48">
        <f>AB106</f>
        <v>50376</v>
      </c>
    </row>
    <row r="108" spans="1:28" x14ac:dyDescent="0.3">
      <c r="A108" s="5">
        <v>108</v>
      </c>
      <c r="B108" s="34">
        <v>72</v>
      </c>
      <c r="C108" s="22" t="s">
        <v>217</v>
      </c>
      <c r="D108" s="22" t="s">
        <v>224</v>
      </c>
      <c r="E108" s="22" t="s">
        <v>225</v>
      </c>
      <c r="F108" s="22" t="s">
        <v>403</v>
      </c>
      <c r="G108" s="22" t="s">
        <v>225</v>
      </c>
      <c r="H108" s="22" t="s">
        <v>427</v>
      </c>
      <c r="I108" s="23">
        <v>43252</v>
      </c>
      <c r="J108" s="23">
        <f>EDATE(I108,K108)</f>
        <v>43922</v>
      </c>
      <c r="K108" s="22">
        <v>22</v>
      </c>
      <c r="L108" s="35">
        <f ca="1">IF(J108 &lt; TODAY(), -DATEDIF(J108, TODAY(), "M"), DATEDIF(TODAY(), J108, "M"))</f>
        <v>-73</v>
      </c>
      <c r="N108" s="5">
        <v>114</v>
      </c>
      <c r="O108" s="20">
        <v>145</v>
      </c>
      <c r="P108" s="10" t="s">
        <v>163</v>
      </c>
      <c r="Q108" s="10" t="s">
        <v>168</v>
      </c>
      <c r="R108" s="10" t="s">
        <v>314</v>
      </c>
      <c r="S108" s="10">
        <v>566</v>
      </c>
      <c r="T108" s="10" t="s">
        <v>173</v>
      </c>
      <c r="U108" s="46" t="s">
        <v>438</v>
      </c>
      <c r="V108" s="11">
        <v>45931</v>
      </c>
      <c r="W108" s="10">
        <v>47897</v>
      </c>
      <c r="X108" s="10">
        <v>47000</v>
      </c>
      <c r="Y108" s="10">
        <f t="shared" si="39"/>
        <v>94897</v>
      </c>
      <c r="Z108" s="47">
        <f t="shared" si="40"/>
        <v>44521</v>
      </c>
      <c r="AA108" s="47">
        <f t="shared" si="41"/>
        <v>5.274468085106383</v>
      </c>
      <c r="AB108" s="48">
        <f>AB107</f>
        <v>50376</v>
      </c>
    </row>
    <row r="109" spans="1:28" x14ac:dyDescent="0.3">
      <c r="A109" s="33">
        <v>109</v>
      </c>
      <c r="B109" s="34">
        <v>72</v>
      </c>
      <c r="C109" s="22" t="s">
        <v>217</v>
      </c>
      <c r="D109" s="22" t="s">
        <v>224</v>
      </c>
      <c r="E109" s="22" t="s">
        <v>225</v>
      </c>
      <c r="F109" s="22" t="s">
        <v>403</v>
      </c>
      <c r="G109" s="22" t="s">
        <v>225</v>
      </c>
      <c r="H109" s="22" t="s">
        <v>427</v>
      </c>
      <c r="I109" s="23">
        <v>44044</v>
      </c>
      <c r="J109" s="23">
        <f>EDATE(I109,K109)</f>
        <v>44713</v>
      </c>
      <c r="K109" s="22">
        <v>22</v>
      </c>
      <c r="L109" s="35">
        <f ca="1">IF(J109 &lt; TODAY(), -DATEDIF(J109, TODAY(), "M"), DATEDIF(TODAY(), J109, "M"))</f>
        <v>-47</v>
      </c>
      <c r="N109">
        <v>115</v>
      </c>
      <c r="O109" s="20" t="s">
        <v>431</v>
      </c>
      <c r="P109" s="10" t="s">
        <v>431</v>
      </c>
      <c r="Q109" s="10" t="s">
        <v>431</v>
      </c>
      <c r="R109" s="10" t="s">
        <v>431</v>
      </c>
      <c r="S109" s="10" t="s">
        <v>431</v>
      </c>
      <c r="T109" s="10" t="s">
        <v>431</v>
      </c>
      <c r="U109" s="10" t="s">
        <v>431</v>
      </c>
      <c r="V109" s="11" t="s">
        <v>431</v>
      </c>
      <c r="W109" s="11" t="s">
        <v>431</v>
      </c>
      <c r="X109" s="10" t="s">
        <v>431</v>
      </c>
      <c r="Y109" s="10" t="s">
        <v>431</v>
      </c>
      <c r="Z109" s="47" t="s">
        <v>431</v>
      </c>
      <c r="AA109" s="47" t="s">
        <v>431</v>
      </c>
      <c r="AB109" s="48" t="s">
        <v>431</v>
      </c>
    </row>
    <row r="110" spans="1:28" x14ac:dyDescent="0.3">
      <c r="A110" s="5">
        <v>110</v>
      </c>
      <c r="B110" s="36">
        <v>72</v>
      </c>
      <c r="C110" s="26" t="s">
        <v>217</v>
      </c>
      <c r="D110" s="26" t="s">
        <v>224</v>
      </c>
      <c r="E110" s="26" t="s">
        <v>225</v>
      </c>
      <c r="F110" s="26" t="s">
        <v>403</v>
      </c>
      <c r="G110" s="26" t="s">
        <v>225</v>
      </c>
      <c r="H110" s="26" t="s">
        <v>427</v>
      </c>
      <c r="I110" s="27">
        <v>44044</v>
      </c>
      <c r="J110" s="27">
        <f>EDATE(I110,K110)</f>
        <v>44713</v>
      </c>
      <c r="K110" s="26">
        <v>22</v>
      </c>
      <c r="L110" s="37">
        <f ca="1">IF(J110 &lt; TODAY(), -DATEDIF(J110, TODAY(), "M"), DATEDIF(TODAY(), J110, "M"))</f>
        <v>-47</v>
      </c>
      <c r="N110" s="5">
        <v>116</v>
      </c>
      <c r="O110" s="20">
        <v>146</v>
      </c>
      <c r="P110" s="10" t="s">
        <v>176</v>
      </c>
      <c r="Q110" s="10" t="s">
        <v>177</v>
      </c>
      <c r="R110" s="10" t="s">
        <v>317</v>
      </c>
      <c r="S110" s="10">
        <v>23</v>
      </c>
      <c r="T110" s="10" t="s">
        <v>179</v>
      </c>
      <c r="U110" s="46" t="s">
        <v>439</v>
      </c>
      <c r="V110" s="11">
        <v>44832</v>
      </c>
      <c r="W110" s="10">
        <v>4063</v>
      </c>
      <c r="X110" s="10">
        <v>30000</v>
      </c>
      <c r="Y110" s="10">
        <f t="shared" ref="Y110:Y115" si="42">W110+X110</f>
        <v>34063</v>
      </c>
      <c r="Z110" s="47">
        <f t="shared" ref="Z110:Z115" si="43">Y110-AB110</f>
        <v>19423</v>
      </c>
      <c r="AA110" s="47">
        <f t="shared" ref="AA110:AA115" si="44">(AB110-W110)/X110*100</f>
        <v>35.256666666666661</v>
      </c>
      <c r="AB110" s="48">
        <v>14640</v>
      </c>
    </row>
    <row r="111" spans="1:28" customFormat="1" x14ac:dyDescent="0.3">
      <c r="A111" s="5">
        <v>111</v>
      </c>
      <c r="B111" s="38" t="s">
        <v>431</v>
      </c>
      <c r="C111" s="32" t="s">
        <v>431</v>
      </c>
      <c r="D111" s="32" t="s">
        <v>431</v>
      </c>
      <c r="E111" s="32" t="s">
        <v>431</v>
      </c>
      <c r="F111" s="32" t="s">
        <v>431</v>
      </c>
      <c r="G111" s="32" t="s">
        <v>431</v>
      </c>
      <c r="H111" s="31" t="s">
        <v>431</v>
      </c>
      <c r="I111" s="32" t="s">
        <v>431</v>
      </c>
      <c r="J111" s="32" t="s">
        <v>431</v>
      </c>
      <c r="K111" s="32" t="s">
        <v>431</v>
      </c>
      <c r="L111" s="39" t="s">
        <v>431</v>
      </c>
      <c r="N111">
        <v>117</v>
      </c>
      <c r="O111" s="20">
        <v>146</v>
      </c>
      <c r="P111" s="10" t="s">
        <v>176</v>
      </c>
      <c r="Q111" s="10" t="s">
        <v>177</v>
      </c>
      <c r="R111" s="10" t="s">
        <v>317</v>
      </c>
      <c r="S111" s="10">
        <v>23</v>
      </c>
      <c r="T111" s="10" t="s">
        <v>179</v>
      </c>
      <c r="U111" s="46" t="s">
        <v>439</v>
      </c>
      <c r="V111" s="11">
        <v>44832</v>
      </c>
      <c r="W111" s="10">
        <v>4063</v>
      </c>
      <c r="X111" s="10">
        <v>30000</v>
      </c>
      <c r="Y111" s="10">
        <f t="shared" si="42"/>
        <v>34063</v>
      </c>
      <c r="Z111" s="47">
        <f t="shared" si="43"/>
        <v>19423</v>
      </c>
      <c r="AA111" s="47">
        <f t="shared" si="44"/>
        <v>35.256666666666661</v>
      </c>
      <c r="AB111" s="48">
        <f>AB110</f>
        <v>14640</v>
      </c>
    </row>
    <row r="112" spans="1:28" x14ac:dyDescent="0.3">
      <c r="A112" s="33">
        <v>112</v>
      </c>
      <c r="B112" s="40">
        <v>77</v>
      </c>
      <c r="C112" s="28" t="s">
        <v>217</v>
      </c>
      <c r="D112" s="28" t="s">
        <v>222</v>
      </c>
      <c r="E112" s="28" t="s">
        <v>321</v>
      </c>
      <c r="F112" s="28">
        <v>66</v>
      </c>
      <c r="G112" s="28" t="s">
        <v>223</v>
      </c>
      <c r="H112" s="28"/>
      <c r="I112" s="29">
        <v>45199</v>
      </c>
      <c r="J112" s="29">
        <f>EDATE(I112,K112)</f>
        <v>45868</v>
      </c>
      <c r="K112" s="28">
        <v>22</v>
      </c>
      <c r="L112" s="41">
        <f ca="1">IF(J112 &lt; TODAY(), -DATEDIF(J112, TODAY(), "M"), DATEDIF(TODAY(), J112, "M"))</f>
        <v>-9</v>
      </c>
      <c r="N112" s="5">
        <v>118</v>
      </c>
      <c r="O112" s="20">
        <v>146</v>
      </c>
      <c r="P112" s="10" t="s">
        <v>176</v>
      </c>
      <c r="Q112" s="10" t="s">
        <v>177</v>
      </c>
      <c r="R112" s="10" t="s">
        <v>317</v>
      </c>
      <c r="S112" s="10">
        <v>23</v>
      </c>
      <c r="T112" s="10" t="s">
        <v>179</v>
      </c>
      <c r="U112" s="46" t="s">
        <v>439</v>
      </c>
      <c r="V112" s="11">
        <v>45107</v>
      </c>
      <c r="W112" s="10">
        <v>4624</v>
      </c>
      <c r="X112" s="10">
        <v>30000</v>
      </c>
      <c r="Y112" s="10">
        <f t="shared" si="42"/>
        <v>34624</v>
      </c>
      <c r="Z112" s="47">
        <f t="shared" si="43"/>
        <v>19984</v>
      </c>
      <c r="AA112" s="47">
        <f t="shared" si="44"/>
        <v>33.386666666666663</v>
      </c>
      <c r="AB112" s="48">
        <f>AB111</f>
        <v>14640</v>
      </c>
    </row>
    <row r="113" spans="1:28" x14ac:dyDescent="0.3">
      <c r="A113" s="5">
        <v>113</v>
      </c>
      <c r="B113" s="34">
        <v>77</v>
      </c>
      <c r="C113" s="22" t="s">
        <v>217</v>
      </c>
      <c r="D113" s="22" t="s">
        <v>222</v>
      </c>
      <c r="E113" s="22" t="s">
        <v>321</v>
      </c>
      <c r="F113" s="22">
        <v>66</v>
      </c>
      <c r="G113" s="22" t="s">
        <v>223</v>
      </c>
      <c r="H113" s="22"/>
      <c r="I113" s="23">
        <v>45199</v>
      </c>
      <c r="J113" s="23">
        <f>EDATE(I113,K113)</f>
        <v>45868</v>
      </c>
      <c r="K113" s="22">
        <v>22</v>
      </c>
      <c r="L113" s="35">
        <f ca="1">IF(J113 &lt; TODAY(), -DATEDIF(J113, TODAY(), "M"), DATEDIF(TODAY(), J113, "M"))</f>
        <v>-9</v>
      </c>
      <c r="N113">
        <v>119</v>
      </c>
      <c r="O113" s="20">
        <v>146</v>
      </c>
      <c r="P113" s="10" t="s">
        <v>176</v>
      </c>
      <c r="Q113" s="10" t="s">
        <v>177</v>
      </c>
      <c r="R113" s="10" t="s">
        <v>317</v>
      </c>
      <c r="S113" s="10">
        <v>23</v>
      </c>
      <c r="T113" s="10" t="s">
        <v>179</v>
      </c>
      <c r="U113" s="46" t="s">
        <v>439</v>
      </c>
      <c r="V113" s="11">
        <v>45107</v>
      </c>
      <c r="W113" s="10">
        <v>4624</v>
      </c>
      <c r="X113" s="10">
        <v>30000</v>
      </c>
      <c r="Y113" s="10">
        <f t="shared" si="42"/>
        <v>34624</v>
      </c>
      <c r="Z113" s="47">
        <f t="shared" si="43"/>
        <v>19984</v>
      </c>
      <c r="AA113" s="47">
        <f t="shared" si="44"/>
        <v>33.386666666666663</v>
      </c>
      <c r="AB113" s="48">
        <f>AB112</f>
        <v>14640</v>
      </c>
    </row>
    <row r="114" spans="1:28" x14ac:dyDescent="0.3">
      <c r="A114" s="5">
        <v>114</v>
      </c>
      <c r="B114" s="34">
        <v>77</v>
      </c>
      <c r="C114" s="22" t="s">
        <v>217</v>
      </c>
      <c r="D114" s="22" t="s">
        <v>222</v>
      </c>
      <c r="E114" s="22" t="s">
        <v>321</v>
      </c>
      <c r="F114" s="22">
        <v>66</v>
      </c>
      <c r="G114" s="22" t="s">
        <v>223</v>
      </c>
      <c r="H114" s="22"/>
      <c r="I114" s="23">
        <v>45199</v>
      </c>
      <c r="J114" s="23">
        <f>EDATE(I114,K114)</f>
        <v>45868</v>
      </c>
      <c r="K114" s="22">
        <v>22</v>
      </c>
      <c r="L114" s="35">
        <f ca="1">IF(J114 &lt; TODAY(), -DATEDIF(J114, TODAY(), "M"), DATEDIF(TODAY(), J114, "M"))</f>
        <v>-9</v>
      </c>
      <c r="N114" s="5">
        <v>120</v>
      </c>
      <c r="O114" s="20">
        <v>146</v>
      </c>
      <c r="P114" s="10" t="s">
        <v>176</v>
      </c>
      <c r="Q114" s="10" t="s">
        <v>177</v>
      </c>
      <c r="R114" s="10" t="s">
        <v>317</v>
      </c>
      <c r="S114" s="10">
        <v>23</v>
      </c>
      <c r="T114" s="10" t="s">
        <v>179</v>
      </c>
      <c r="U114" s="46" t="s">
        <v>439</v>
      </c>
      <c r="V114" s="11">
        <v>45107</v>
      </c>
      <c r="W114" s="10">
        <v>4624</v>
      </c>
      <c r="X114" s="10">
        <v>30000</v>
      </c>
      <c r="Y114" s="10">
        <f t="shared" si="42"/>
        <v>34624</v>
      </c>
      <c r="Z114" s="47">
        <f t="shared" si="43"/>
        <v>19984</v>
      </c>
      <c r="AA114" s="47">
        <f t="shared" si="44"/>
        <v>33.386666666666663</v>
      </c>
      <c r="AB114" s="48">
        <f>AB113</f>
        <v>14640</v>
      </c>
    </row>
    <row r="115" spans="1:28" x14ac:dyDescent="0.3">
      <c r="A115" s="33">
        <v>115</v>
      </c>
      <c r="B115" s="36">
        <v>77</v>
      </c>
      <c r="C115" s="26" t="s">
        <v>217</v>
      </c>
      <c r="D115" s="26" t="s">
        <v>222</v>
      </c>
      <c r="E115" s="26" t="s">
        <v>321</v>
      </c>
      <c r="F115" s="26">
        <v>66</v>
      </c>
      <c r="G115" s="26" t="s">
        <v>223</v>
      </c>
      <c r="H115" s="26"/>
      <c r="I115" s="27">
        <v>45199</v>
      </c>
      <c r="J115" s="27">
        <f>EDATE(I115,K115)</f>
        <v>45868</v>
      </c>
      <c r="K115" s="26">
        <v>22</v>
      </c>
      <c r="L115" s="37">
        <f ca="1">IF(J115 &lt; TODAY(), -DATEDIF(J115, TODAY(), "M"), DATEDIF(TODAY(), J115, "M"))</f>
        <v>-9</v>
      </c>
      <c r="N115">
        <v>121</v>
      </c>
      <c r="O115" s="20">
        <v>146</v>
      </c>
      <c r="P115" s="10" t="s">
        <v>176</v>
      </c>
      <c r="Q115" s="10" t="s">
        <v>177</v>
      </c>
      <c r="R115" s="10" t="s">
        <v>317</v>
      </c>
      <c r="S115" s="10">
        <v>23</v>
      </c>
      <c r="T115" s="10" t="s">
        <v>179</v>
      </c>
      <c r="U115" s="46" t="s">
        <v>439</v>
      </c>
      <c r="V115" s="11">
        <v>45107</v>
      </c>
      <c r="W115" s="10">
        <v>4624</v>
      </c>
      <c r="X115" s="10">
        <v>30000</v>
      </c>
      <c r="Y115" s="10">
        <f t="shared" si="42"/>
        <v>34624</v>
      </c>
      <c r="Z115" s="47">
        <f t="shared" si="43"/>
        <v>19984</v>
      </c>
      <c r="AA115" s="47">
        <f t="shared" si="44"/>
        <v>33.386666666666663</v>
      </c>
      <c r="AB115" s="48">
        <f>AB114</f>
        <v>14640</v>
      </c>
    </row>
    <row r="116" spans="1:28" customFormat="1" x14ac:dyDescent="0.3">
      <c r="A116" s="5">
        <v>116</v>
      </c>
      <c r="B116" s="38" t="s">
        <v>431</v>
      </c>
      <c r="C116" s="32" t="s">
        <v>431</v>
      </c>
      <c r="D116" s="32" t="s">
        <v>431</v>
      </c>
      <c r="E116" s="32" t="s">
        <v>431</v>
      </c>
      <c r="F116" s="32" t="s">
        <v>431</v>
      </c>
      <c r="G116" s="32" t="s">
        <v>431</v>
      </c>
      <c r="H116" s="31" t="s">
        <v>431</v>
      </c>
      <c r="I116" s="32" t="s">
        <v>431</v>
      </c>
      <c r="J116" s="32" t="s">
        <v>431</v>
      </c>
      <c r="K116" s="32" t="s">
        <v>431</v>
      </c>
      <c r="L116" s="39" t="s">
        <v>431</v>
      </c>
      <c r="N116" s="5">
        <v>126</v>
      </c>
      <c r="O116" s="20" t="s">
        <v>431</v>
      </c>
      <c r="P116" s="10" t="s">
        <v>431</v>
      </c>
      <c r="Q116" s="10" t="s">
        <v>431</v>
      </c>
      <c r="R116" s="10" t="s">
        <v>431</v>
      </c>
      <c r="S116" s="10" t="s">
        <v>431</v>
      </c>
      <c r="T116" s="10" t="s">
        <v>431</v>
      </c>
      <c r="U116" s="10" t="s">
        <v>431</v>
      </c>
      <c r="V116" s="11" t="s">
        <v>431</v>
      </c>
      <c r="W116" s="11" t="s">
        <v>431</v>
      </c>
      <c r="X116" s="10" t="s">
        <v>431</v>
      </c>
      <c r="Y116" s="10" t="s">
        <v>431</v>
      </c>
      <c r="Z116" s="47" t="s">
        <v>431</v>
      </c>
      <c r="AA116" s="47" t="s">
        <v>431</v>
      </c>
      <c r="AB116" s="48" t="s">
        <v>431</v>
      </c>
    </row>
    <row r="117" spans="1:28" x14ac:dyDescent="0.3">
      <c r="A117" s="5">
        <v>117</v>
      </c>
      <c r="B117" s="40">
        <v>83</v>
      </c>
      <c r="C117" s="28" t="s">
        <v>183</v>
      </c>
      <c r="D117" s="28" t="s">
        <v>199</v>
      </c>
      <c r="E117" s="28" t="s">
        <v>319</v>
      </c>
      <c r="F117" s="28">
        <v>437</v>
      </c>
      <c r="G117" s="28" t="s">
        <v>200</v>
      </c>
      <c r="H117" s="28" t="s">
        <v>428</v>
      </c>
      <c r="I117" s="29">
        <v>45535</v>
      </c>
      <c r="J117" s="29">
        <f>EDATE(I117,K117)</f>
        <v>46203</v>
      </c>
      <c r="K117" s="28">
        <v>22</v>
      </c>
      <c r="L117" s="41">
        <f ca="1">IF(J117 &lt; TODAY(), -DATEDIF(J117, TODAY(), "M"), DATEDIF(TODAY(), J117, "M"))</f>
        <v>1</v>
      </c>
      <c r="N117">
        <v>127</v>
      </c>
      <c r="O117" s="20">
        <v>147</v>
      </c>
      <c r="P117" s="10" t="s">
        <v>163</v>
      </c>
      <c r="Q117" s="10" t="s">
        <v>164</v>
      </c>
      <c r="R117" s="10" t="s">
        <v>313</v>
      </c>
      <c r="S117" s="10">
        <v>267</v>
      </c>
      <c r="T117" s="10" t="s">
        <v>166</v>
      </c>
      <c r="U117" s="46" t="s">
        <v>442</v>
      </c>
      <c r="V117" s="11">
        <v>44119</v>
      </c>
      <c r="W117" s="10">
        <v>52575</v>
      </c>
      <c r="X117" s="10">
        <v>60000</v>
      </c>
      <c r="Y117" s="10">
        <f t="shared" ref="Y117:Y122" si="45">W117+X117</f>
        <v>112575</v>
      </c>
      <c r="Z117" s="47">
        <f t="shared" ref="Z117:Z122" si="46">Y117-AB117</f>
        <v>31951</v>
      </c>
      <c r="AA117" s="47">
        <f t="shared" ref="AA117:AA122" si="47">(AB117-W117)/X117*100</f>
        <v>46.748333333333328</v>
      </c>
      <c r="AB117" s="48">
        <v>80624</v>
      </c>
    </row>
    <row r="118" spans="1:28" x14ac:dyDescent="0.3">
      <c r="A118" s="33">
        <v>118</v>
      </c>
      <c r="B118" s="34">
        <v>83</v>
      </c>
      <c r="C118" s="22" t="s">
        <v>183</v>
      </c>
      <c r="D118" s="22" t="s">
        <v>199</v>
      </c>
      <c r="E118" s="22" t="s">
        <v>319</v>
      </c>
      <c r="F118" s="22">
        <v>437</v>
      </c>
      <c r="G118" s="22" t="s">
        <v>200</v>
      </c>
      <c r="H118" s="22" t="s">
        <v>428</v>
      </c>
      <c r="I118" s="23">
        <v>45535</v>
      </c>
      <c r="J118" s="23">
        <f>EDATE(I118,K118)</f>
        <v>46203</v>
      </c>
      <c r="K118" s="22">
        <v>22</v>
      </c>
      <c r="L118" s="35">
        <f ca="1">IF(J118 &lt; TODAY(), -DATEDIF(J118, TODAY(), "M"), DATEDIF(TODAY(), J118, "M"))</f>
        <v>1</v>
      </c>
      <c r="N118" s="5">
        <v>128</v>
      </c>
      <c r="O118" s="20">
        <v>147</v>
      </c>
      <c r="P118" s="10" t="s">
        <v>163</v>
      </c>
      <c r="Q118" s="10" t="s">
        <v>164</v>
      </c>
      <c r="R118" s="10" t="s">
        <v>313</v>
      </c>
      <c r="S118" s="10">
        <v>267</v>
      </c>
      <c r="T118" s="10" t="s">
        <v>166</v>
      </c>
      <c r="U118" s="46" t="s">
        <v>442</v>
      </c>
      <c r="V118" s="11">
        <v>44119</v>
      </c>
      <c r="W118" s="10">
        <v>52575</v>
      </c>
      <c r="X118" s="10">
        <v>60000</v>
      </c>
      <c r="Y118" s="10">
        <f t="shared" si="45"/>
        <v>112575</v>
      </c>
      <c r="Z118" s="47">
        <f t="shared" si="46"/>
        <v>31951</v>
      </c>
      <c r="AA118" s="47">
        <f t="shared" si="47"/>
        <v>46.748333333333328</v>
      </c>
      <c r="AB118" s="48">
        <f>AB117</f>
        <v>80624</v>
      </c>
    </row>
    <row r="119" spans="1:28" x14ac:dyDescent="0.3">
      <c r="A119" s="5">
        <v>119</v>
      </c>
      <c r="B119" s="34">
        <v>83</v>
      </c>
      <c r="C119" s="22" t="s">
        <v>183</v>
      </c>
      <c r="D119" s="22" t="s">
        <v>199</v>
      </c>
      <c r="E119" s="22" t="s">
        <v>319</v>
      </c>
      <c r="F119" s="22">
        <v>437</v>
      </c>
      <c r="G119" s="22" t="s">
        <v>200</v>
      </c>
      <c r="H119" s="22" t="s">
        <v>422</v>
      </c>
      <c r="I119" s="23">
        <v>45808</v>
      </c>
      <c r="J119" s="23">
        <f>EDATE(I119,K119)</f>
        <v>46477</v>
      </c>
      <c r="K119" s="22">
        <v>22</v>
      </c>
      <c r="L119" s="35">
        <f ca="1">IF(J119 &lt; TODAY(), -DATEDIF(J119, TODAY(), "M"), DATEDIF(TODAY(), J119, "M"))</f>
        <v>10</v>
      </c>
      <c r="N119">
        <v>129</v>
      </c>
      <c r="O119" s="20">
        <v>147</v>
      </c>
      <c r="P119" s="10" t="s">
        <v>163</v>
      </c>
      <c r="Q119" s="10" t="s">
        <v>164</v>
      </c>
      <c r="R119" s="10" t="s">
        <v>313</v>
      </c>
      <c r="S119" s="10">
        <v>267</v>
      </c>
      <c r="T119" s="10" t="s">
        <v>166</v>
      </c>
      <c r="U119" s="46" t="s">
        <v>442</v>
      </c>
      <c r="V119" s="11">
        <v>44119</v>
      </c>
      <c r="W119" s="10">
        <v>52575</v>
      </c>
      <c r="X119" s="10">
        <v>60000</v>
      </c>
      <c r="Y119" s="10">
        <f t="shared" si="45"/>
        <v>112575</v>
      </c>
      <c r="Z119" s="47">
        <f t="shared" si="46"/>
        <v>31951</v>
      </c>
      <c r="AA119" s="47">
        <f t="shared" si="47"/>
        <v>46.748333333333328</v>
      </c>
      <c r="AB119" s="48">
        <f>AB118</f>
        <v>80624</v>
      </c>
    </row>
    <row r="120" spans="1:28" x14ac:dyDescent="0.3">
      <c r="A120" s="5">
        <v>120</v>
      </c>
      <c r="B120" s="36">
        <v>83</v>
      </c>
      <c r="C120" s="26" t="s">
        <v>183</v>
      </c>
      <c r="D120" s="26" t="s">
        <v>199</v>
      </c>
      <c r="E120" s="26" t="s">
        <v>319</v>
      </c>
      <c r="F120" s="26">
        <v>437</v>
      </c>
      <c r="G120" s="26" t="s">
        <v>200</v>
      </c>
      <c r="H120" s="26" t="s">
        <v>422</v>
      </c>
      <c r="I120" s="27">
        <v>45808</v>
      </c>
      <c r="J120" s="27">
        <f>EDATE(I120,K120)</f>
        <v>46477</v>
      </c>
      <c r="K120" s="26">
        <v>22</v>
      </c>
      <c r="L120" s="37">
        <f ca="1">IF(J120 &lt; TODAY(), -DATEDIF(J120, TODAY(), "M"), DATEDIF(TODAY(), J120, "M"))</f>
        <v>10</v>
      </c>
      <c r="N120" s="5">
        <v>130</v>
      </c>
      <c r="O120" s="20">
        <v>147</v>
      </c>
      <c r="P120" s="10" t="s">
        <v>163</v>
      </c>
      <c r="Q120" s="10" t="s">
        <v>164</v>
      </c>
      <c r="R120" s="10" t="s">
        <v>313</v>
      </c>
      <c r="S120" s="10">
        <v>267</v>
      </c>
      <c r="T120" s="10" t="s">
        <v>166</v>
      </c>
      <c r="U120" s="46" t="s">
        <v>442</v>
      </c>
      <c r="V120" s="11">
        <v>44119</v>
      </c>
      <c r="W120" s="10">
        <v>52575</v>
      </c>
      <c r="X120" s="10">
        <v>60000</v>
      </c>
      <c r="Y120" s="10">
        <f t="shared" si="45"/>
        <v>112575</v>
      </c>
      <c r="Z120" s="47">
        <f t="shared" si="46"/>
        <v>31951</v>
      </c>
      <c r="AA120" s="47">
        <f t="shared" si="47"/>
        <v>46.748333333333328</v>
      </c>
      <c r="AB120" s="48">
        <f>AB119</f>
        <v>80624</v>
      </c>
    </row>
    <row r="121" spans="1:28" customFormat="1" x14ac:dyDescent="0.3">
      <c r="A121" s="33">
        <v>121</v>
      </c>
      <c r="B121" s="38" t="s">
        <v>431</v>
      </c>
      <c r="C121" s="32" t="s">
        <v>431</v>
      </c>
      <c r="D121" s="32" t="s">
        <v>431</v>
      </c>
      <c r="E121" s="32" t="s">
        <v>431</v>
      </c>
      <c r="F121" s="32" t="s">
        <v>431</v>
      </c>
      <c r="G121" s="32" t="s">
        <v>431</v>
      </c>
      <c r="H121" s="31" t="s">
        <v>431</v>
      </c>
      <c r="I121" s="32" t="s">
        <v>431</v>
      </c>
      <c r="J121" s="32" t="s">
        <v>431</v>
      </c>
      <c r="K121" s="32" t="s">
        <v>431</v>
      </c>
      <c r="L121" s="39" t="s">
        <v>431</v>
      </c>
      <c r="N121">
        <v>131</v>
      </c>
      <c r="O121" s="20">
        <v>147</v>
      </c>
      <c r="P121" s="10" t="s">
        <v>163</v>
      </c>
      <c r="Q121" s="10" t="s">
        <v>164</v>
      </c>
      <c r="R121" s="10" t="s">
        <v>313</v>
      </c>
      <c r="S121" s="10">
        <v>267</v>
      </c>
      <c r="T121" s="10" t="s">
        <v>166</v>
      </c>
      <c r="U121" s="46" t="s">
        <v>442</v>
      </c>
      <c r="V121" s="11">
        <v>44858</v>
      </c>
      <c r="W121" s="10">
        <v>52575</v>
      </c>
      <c r="X121" s="10">
        <v>60000</v>
      </c>
      <c r="Y121" s="10">
        <f t="shared" si="45"/>
        <v>112575</v>
      </c>
      <c r="Z121" s="47">
        <f t="shared" si="46"/>
        <v>31951</v>
      </c>
      <c r="AA121" s="47">
        <f t="shared" si="47"/>
        <v>46.748333333333328</v>
      </c>
      <c r="AB121" s="48">
        <f>AB120</f>
        <v>80624</v>
      </c>
    </row>
    <row r="122" spans="1:28" x14ac:dyDescent="0.3">
      <c r="A122" s="5">
        <v>122</v>
      </c>
      <c r="B122" s="40">
        <v>84</v>
      </c>
      <c r="C122" s="28" t="s">
        <v>217</v>
      </c>
      <c r="D122" s="28" t="s">
        <v>218</v>
      </c>
      <c r="E122" s="28" t="s">
        <v>323</v>
      </c>
      <c r="F122" s="28">
        <v>866</v>
      </c>
      <c r="G122" s="28" t="s">
        <v>219</v>
      </c>
      <c r="H122" s="28" t="s">
        <v>429</v>
      </c>
      <c r="I122" s="29">
        <v>44287</v>
      </c>
      <c r="J122" s="29">
        <f>EDATE(I122,K122)</f>
        <v>44958</v>
      </c>
      <c r="K122" s="28">
        <v>22</v>
      </c>
      <c r="L122" s="41">
        <f ca="1">IF(J122 &lt; TODAY(), -DATEDIF(J122, TODAY(), "M"), DATEDIF(TODAY(), J122, "M"))</f>
        <v>-39</v>
      </c>
      <c r="N122" s="5">
        <v>132</v>
      </c>
      <c r="O122" s="20">
        <v>147</v>
      </c>
      <c r="P122" s="10" t="s">
        <v>163</v>
      </c>
      <c r="Q122" s="10" t="s">
        <v>164</v>
      </c>
      <c r="R122" s="10" t="s">
        <v>313</v>
      </c>
      <c r="S122" s="10">
        <v>267</v>
      </c>
      <c r="T122" s="10" t="s">
        <v>166</v>
      </c>
      <c r="U122" s="46" t="s">
        <v>442</v>
      </c>
      <c r="V122" s="11">
        <v>44858</v>
      </c>
      <c r="W122" s="10">
        <v>52575</v>
      </c>
      <c r="X122" s="10">
        <v>60000</v>
      </c>
      <c r="Y122" s="10">
        <f t="shared" si="45"/>
        <v>112575</v>
      </c>
      <c r="Z122" s="47">
        <f t="shared" si="46"/>
        <v>31951</v>
      </c>
      <c r="AA122" s="47">
        <f t="shared" si="47"/>
        <v>46.748333333333328</v>
      </c>
      <c r="AB122" s="48">
        <f>AB121</f>
        <v>80624</v>
      </c>
    </row>
    <row r="123" spans="1:28" x14ac:dyDescent="0.3">
      <c r="A123" s="5">
        <v>123</v>
      </c>
      <c r="B123" s="34">
        <v>84</v>
      </c>
      <c r="C123" s="22" t="s">
        <v>217</v>
      </c>
      <c r="D123" s="22" t="s">
        <v>218</v>
      </c>
      <c r="E123" s="22" t="s">
        <v>323</v>
      </c>
      <c r="F123" s="22">
        <v>866</v>
      </c>
      <c r="G123" s="22" t="s">
        <v>219</v>
      </c>
      <c r="H123" s="22" t="s">
        <v>429</v>
      </c>
      <c r="I123" s="23">
        <v>44287</v>
      </c>
      <c r="J123" s="23">
        <f>EDATE(I123,K123)</f>
        <v>44958</v>
      </c>
      <c r="K123" s="22">
        <v>22</v>
      </c>
      <c r="L123" s="35">
        <f ca="1">IF(J123 &lt; TODAY(), -DATEDIF(J123, TODAY(), "M"), DATEDIF(TODAY(), J123, "M"))</f>
        <v>-39</v>
      </c>
      <c r="N123">
        <v>133</v>
      </c>
      <c r="O123" s="20" t="s">
        <v>431</v>
      </c>
      <c r="P123" s="10" t="s">
        <v>431</v>
      </c>
      <c r="Q123" s="10" t="s">
        <v>431</v>
      </c>
      <c r="R123" s="10" t="s">
        <v>431</v>
      </c>
      <c r="S123" s="10" t="s">
        <v>431</v>
      </c>
      <c r="T123" s="10" t="s">
        <v>431</v>
      </c>
      <c r="U123" s="10" t="s">
        <v>431</v>
      </c>
      <c r="V123" s="11" t="s">
        <v>431</v>
      </c>
      <c r="W123" s="11" t="s">
        <v>431</v>
      </c>
      <c r="X123" s="10" t="s">
        <v>431</v>
      </c>
      <c r="Y123" s="10" t="s">
        <v>431</v>
      </c>
      <c r="Z123" s="47" t="s">
        <v>431</v>
      </c>
      <c r="AA123" s="47" t="s">
        <v>431</v>
      </c>
      <c r="AB123" s="48" t="s">
        <v>431</v>
      </c>
    </row>
    <row r="124" spans="1:28" x14ac:dyDescent="0.3">
      <c r="A124" s="33">
        <v>124</v>
      </c>
      <c r="B124" s="34">
        <v>84</v>
      </c>
      <c r="C124" s="22" t="s">
        <v>217</v>
      </c>
      <c r="D124" s="22" t="s">
        <v>218</v>
      </c>
      <c r="E124" s="22" t="s">
        <v>323</v>
      </c>
      <c r="F124" s="22">
        <v>866</v>
      </c>
      <c r="G124" s="22" t="s">
        <v>219</v>
      </c>
      <c r="H124" s="22" t="s">
        <v>429</v>
      </c>
      <c r="I124" s="23">
        <v>44287</v>
      </c>
      <c r="J124" s="23">
        <f>EDATE(I124,K124)</f>
        <v>44958</v>
      </c>
      <c r="K124" s="22">
        <v>22</v>
      </c>
      <c r="L124" s="35">
        <f ca="1">IF(J124 &lt; TODAY(), -DATEDIF(J124, TODAY(), "M"), DATEDIF(TODAY(), J124, "M"))</f>
        <v>-39</v>
      </c>
      <c r="N124" s="5">
        <v>134</v>
      </c>
      <c r="O124" s="20">
        <v>148</v>
      </c>
      <c r="P124" s="10" t="s">
        <v>157</v>
      </c>
      <c r="Q124" s="10" t="s">
        <v>174</v>
      </c>
      <c r="R124" s="10" t="s">
        <v>402</v>
      </c>
      <c r="S124" s="10">
        <v>483</v>
      </c>
      <c r="T124" s="10" t="s">
        <v>175</v>
      </c>
      <c r="U124" s="46" t="s">
        <v>444</v>
      </c>
      <c r="V124" s="11">
        <v>43962</v>
      </c>
      <c r="W124" s="10">
        <v>75931</v>
      </c>
      <c r="X124" s="10">
        <v>43000</v>
      </c>
      <c r="Y124" s="10">
        <f>W124+X124</f>
        <v>118931</v>
      </c>
      <c r="Z124" s="47">
        <f>Y124-AB124</f>
        <v>-1397637</v>
      </c>
      <c r="AA124" s="47">
        <f>(AB124-W124)/X124*100</f>
        <v>3350.3186046511628</v>
      </c>
      <c r="AB124" s="48">
        <v>1516568</v>
      </c>
    </row>
    <row r="125" spans="1:28" x14ac:dyDescent="0.3">
      <c r="A125" s="5">
        <v>125</v>
      </c>
      <c r="B125" s="36">
        <v>84</v>
      </c>
      <c r="C125" s="26" t="s">
        <v>217</v>
      </c>
      <c r="D125" s="26" t="s">
        <v>218</v>
      </c>
      <c r="E125" s="26" t="s">
        <v>323</v>
      </c>
      <c r="F125" s="26">
        <v>866</v>
      </c>
      <c r="G125" s="26" t="s">
        <v>219</v>
      </c>
      <c r="H125" s="26" t="s">
        <v>429</v>
      </c>
      <c r="I125" s="27">
        <v>44287</v>
      </c>
      <c r="J125" s="27">
        <f>EDATE(I125,K125)</f>
        <v>44958</v>
      </c>
      <c r="K125" s="26">
        <v>22</v>
      </c>
      <c r="L125" s="37">
        <f ca="1">IF(J125 &lt; TODAY(), -DATEDIF(J125, TODAY(), "M"), DATEDIF(TODAY(), J125, "M"))</f>
        <v>-39</v>
      </c>
      <c r="N125">
        <v>135</v>
      </c>
      <c r="O125" s="20">
        <v>148</v>
      </c>
      <c r="P125" s="10" t="s">
        <v>157</v>
      </c>
      <c r="Q125" s="10" t="s">
        <v>174</v>
      </c>
      <c r="R125" s="10" t="s">
        <v>402</v>
      </c>
      <c r="S125" s="10">
        <v>483</v>
      </c>
      <c r="T125" s="10" t="s">
        <v>175</v>
      </c>
      <c r="U125" s="46" t="s">
        <v>444</v>
      </c>
      <c r="V125" s="11">
        <v>43962</v>
      </c>
      <c r="W125" s="10">
        <v>75931</v>
      </c>
      <c r="X125" s="10">
        <v>43000</v>
      </c>
      <c r="Y125" s="10">
        <f>W125+X125</f>
        <v>118931</v>
      </c>
      <c r="Z125" s="47">
        <f>Y125-AB125</f>
        <v>-1397637</v>
      </c>
      <c r="AA125" s="47">
        <f>(AB125-W125)/X125*100</f>
        <v>3350.3186046511628</v>
      </c>
      <c r="AB125" s="48">
        <f>AB124</f>
        <v>1516568</v>
      </c>
    </row>
    <row r="126" spans="1:28" customFormat="1" x14ac:dyDescent="0.3">
      <c r="A126" s="5">
        <v>126</v>
      </c>
      <c r="B126" s="38" t="s">
        <v>431</v>
      </c>
      <c r="C126" s="32" t="s">
        <v>431</v>
      </c>
      <c r="D126" s="32" t="s">
        <v>431</v>
      </c>
      <c r="E126" s="32" t="s">
        <v>431</v>
      </c>
      <c r="F126" s="32" t="s">
        <v>431</v>
      </c>
      <c r="G126" s="32" t="s">
        <v>431</v>
      </c>
      <c r="H126" s="31" t="s">
        <v>431</v>
      </c>
      <c r="I126" s="32" t="s">
        <v>431</v>
      </c>
      <c r="J126" s="32" t="s">
        <v>431</v>
      </c>
      <c r="K126" s="32" t="s">
        <v>431</v>
      </c>
      <c r="L126" s="39" t="s">
        <v>431</v>
      </c>
      <c r="N126" s="5">
        <v>136</v>
      </c>
      <c r="O126" s="20">
        <v>148</v>
      </c>
      <c r="P126" s="10" t="s">
        <v>157</v>
      </c>
      <c r="Q126" s="10" t="s">
        <v>174</v>
      </c>
      <c r="R126" s="10" t="s">
        <v>402</v>
      </c>
      <c r="S126" s="10">
        <v>483</v>
      </c>
      <c r="T126" s="10" t="s">
        <v>175</v>
      </c>
      <c r="U126" s="46" t="s">
        <v>445</v>
      </c>
      <c r="V126" s="11">
        <v>45535</v>
      </c>
      <c r="W126" s="10">
        <v>80818</v>
      </c>
      <c r="X126" s="10">
        <v>43000</v>
      </c>
      <c r="Y126" s="10">
        <f>W126+X126</f>
        <v>123818</v>
      </c>
      <c r="Z126" s="47">
        <f>Y126-AB126</f>
        <v>-1392750</v>
      </c>
      <c r="AA126" s="47">
        <f>(AB126-W126)/X126*100</f>
        <v>3338.9534883720926</v>
      </c>
      <c r="AB126" s="48">
        <f>AB125</f>
        <v>1516568</v>
      </c>
    </row>
    <row r="127" spans="1:28" x14ac:dyDescent="0.3">
      <c r="A127" s="33">
        <v>127</v>
      </c>
      <c r="B127" s="40">
        <v>85</v>
      </c>
      <c r="C127" s="28" t="s">
        <v>183</v>
      </c>
      <c r="D127" s="28" t="s">
        <v>202</v>
      </c>
      <c r="E127" s="28" t="s">
        <v>323</v>
      </c>
      <c r="F127" s="28">
        <v>946</v>
      </c>
      <c r="G127" s="28" t="s">
        <v>203</v>
      </c>
      <c r="H127" s="28" t="s">
        <v>423</v>
      </c>
      <c r="I127" s="29">
        <v>43922</v>
      </c>
      <c r="J127" s="29">
        <f>EDATE(I127,K127)</f>
        <v>44593</v>
      </c>
      <c r="K127" s="28">
        <v>22</v>
      </c>
      <c r="L127" s="41">
        <f ca="1">IF(J127 &lt; TODAY(), -DATEDIF(J127, TODAY(), "M"), DATEDIF(TODAY(), J127, "M"))</f>
        <v>-51</v>
      </c>
      <c r="N127">
        <v>137</v>
      </c>
      <c r="O127" s="20">
        <v>148</v>
      </c>
      <c r="P127" s="10" t="s">
        <v>157</v>
      </c>
      <c r="Q127" s="10" t="s">
        <v>174</v>
      </c>
      <c r="R127" s="10" t="s">
        <v>402</v>
      </c>
      <c r="S127" s="10">
        <v>483</v>
      </c>
      <c r="T127" s="10" t="s">
        <v>175</v>
      </c>
      <c r="U127" s="46" t="s">
        <v>445</v>
      </c>
      <c r="V127" s="11">
        <v>45535</v>
      </c>
      <c r="W127" s="10">
        <v>80818</v>
      </c>
      <c r="X127" s="10">
        <v>43000</v>
      </c>
      <c r="Y127" s="10">
        <f>W127+X127</f>
        <v>123818</v>
      </c>
      <c r="Z127" s="47">
        <f>Y127-AB127</f>
        <v>-1392750</v>
      </c>
      <c r="AA127" s="47">
        <f>(AB127-W127)/X127*100</f>
        <v>3338.9534883720926</v>
      </c>
      <c r="AB127" s="48">
        <f>AB126</f>
        <v>1516568</v>
      </c>
    </row>
    <row r="128" spans="1:28" x14ac:dyDescent="0.3">
      <c r="A128" s="5">
        <v>128</v>
      </c>
      <c r="B128" s="34">
        <v>85</v>
      </c>
      <c r="C128" s="22" t="s">
        <v>183</v>
      </c>
      <c r="D128" s="22" t="s">
        <v>202</v>
      </c>
      <c r="E128" s="22" t="s">
        <v>323</v>
      </c>
      <c r="F128" s="22">
        <v>946</v>
      </c>
      <c r="G128" s="22" t="s">
        <v>203</v>
      </c>
      <c r="H128" s="22" t="s">
        <v>423</v>
      </c>
      <c r="I128" s="23">
        <v>43922</v>
      </c>
      <c r="J128" s="23">
        <f>EDATE(I128,K128)</f>
        <v>44593</v>
      </c>
      <c r="K128" s="22">
        <v>22</v>
      </c>
      <c r="L128" s="35">
        <f ca="1">IF(J128 &lt; TODAY(), -DATEDIF(J128, TODAY(), "M"), DATEDIF(TODAY(), J128, "M"))</f>
        <v>-51</v>
      </c>
      <c r="N128" s="5">
        <v>138</v>
      </c>
      <c r="O128" s="20" t="s">
        <v>431</v>
      </c>
      <c r="P128" s="10" t="s">
        <v>431</v>
      </c>
      <c r="Q128" s="10" t="s">
        <v>431</v>
      </c>
      <c r="R128" s="10" t="s">
        <v>431</v>
      </c>
      <c r="S128" s="10" t="s">
        <v>431</v>
      </c>
      <c r="T128" s="10" t="s">
        <v>431</v>
      </c>
      <c r="U128" s="10" t="s">
        <v>431</v>
      </c>
      <c r="V128" s="11" t="s">
        <v>431</v>
      </c>
      <c r="W128" s="11" t="s">
        <v>431</v>
      </c>
      <c r="X128" s="10" t="s">
        <v>431</v>
      </c>
      <c r="Y128" s="10" t="s">
        <v>431</v>
      </c>
      <c r="Z128" s="47" t="s">
        <v>431</v>
      </c>
      <c r="AA128" s="47" t="s">
        <v>431</v>
      </c>
      <c r="AB128" s="48" t="s">
        <v>431</v>
      </c>
    </row>
    <row r="129" spans="1:28" x14ac:dyDescent="0.3">
      <c r="A129" s="5">
        <v>129</v>
      </c>
      <c r="B129" s="34">
        <v>85</v>
      </c>
      <c r="C129" s="22" t="s">
        <v>183</v>
      </c>
      <c r="D129" s="22" t="s">
        <v>202</v>
      </c>
      <c r="E129" s="22" t="s">
        <v>323</v>
      </c>
      <c r="F129" s="22">
        <v>946</v>
      </c>
      <c r="G129" s="22" t="s">
        <v>203</v>
      </c>
      <c r="H129" s="22" t="s">
        <v>422</v>
      </c>
      <c r="I129" s="23">
        <v>45443</v>
      </c>
      <c r="J129" s="23">
        <f>EDATE(I129,K129)</f>
        <v>46112</v>
      </c>
      <c r="K129" s="22">
        <v>22</v>
      </c>
      <c r="L129" s="35">
        <f ca="1">IF(J129 &lt; TODAY(), -DATEDIF(J129, TODAY(), "M"), DATEDIF(TODAY(), J129, "M"))</f>
        <v>-1</v>
      </c>
      <c r="N129">
        <v>139</v>
      </c>
      <c r="O129" s="20">
        <v>149</v>
      </c>
      <c r="P129" s="10" t="s">
        <v>163</v>
      </c>
      <c r="Q129" s="10" t="s">
        <v>171</v>
      </c>
      <c r="R129" s="10" t="s">
        <v>316</v>
      </c>
      <c r="S129" s="10">
        <v>393</v>
      </c>
      <c r="T129" s="10" t="s">
        <v>172</v>
      </c>
      <c r="U129" s="46" t="s">
        <v>438</v>
      </c>
      <c r="V129" s="11">
        <v>45199</v>
      </c>
      <c r="W129" s="10">
        <v>72706</v>
      </c>
      <c r="X129" s="10">
        <v>47000</v>
      </c>
      <c r="Y129" s="10">
        <f t="shared" ref="Y129:Y138" si="48">W129+X129</f>
        <v>119706</v>
      </c>
      <c r="Z129" s="47">
        <f t="shared" ref="Z129:Z138" si="49">Y129-AB129</f>
        <v>102478</v>
      </c>
      <c r="AA129" s="47">
        <f t="shared" ref="AA129:AA138" si="50">(AB129-W129)/X129*100</f>
        <v>-118.03829787234044</v>
      </c>
      <c r="AB129" s="48">
        <v>17228</v>
      </c>
    </row>
    <row r="130" spans="1:28" x14ac:dyDescent="0.3">
      <c r="A130" s="33">
        <v>130</v>
      </c>
      <c r="B130" s="36">
        <v>85</v>
      </c>
      <c r="C130" s="26" t="s">
        <v>183</v>
      </c>
      <c r="D130" s="26" t="s">
        <v>202</v>
      </c>
      <c r="E130" s="26" t="s">
        <v>323</v>
      </c>
      <c r="F130" s="26">
        <v>946</v>
      </c>
      <c r="G130" s="26" t="s">
        <v>203</v>
      </c>
      <c r="H130" s="26" t="s">
        <v>422</v>
      </c>
      <c r="I130" s="27">
        <v>45443</v>
      </c>
      <c r="J130" s="27">
        <f>EDATE(I130,K130)</f>
        <v>46112</v>
      </c>
      <c r="K130" s="26">
        <v>22</v>
      </c>
      <c r="L130" s="37">
        <f ca="1">IF(J130 &lt; TODAY(), -DATEDIF(J130, TODAY(), "M"), DATEDIF(TODAY(), J130, "M"))</f>
        <v>-1</v>
      </c>
      <c r="N130" s="5">
        <v>140</v>
      </c>
      <c r="O130" s="20">
        <v>149</v>
      </c>
      <c r="P130" s="10" t="s">
        <v>163</v>
      </c>
      <c r="Q130" s="10" t="s">
        <v>171</v>
      </c>
      <c r="R130" s="10" t="s">
        <v>316</v>
      </c>
      <c r="S130" s="10">
        <v>393</v>
      </c>
      <c r="T130" s="10" t="s">
        <v>172</v>
      </c>
      <c r="U130" s="46" t="s">
        <v>438</v>
      </c>
      <c r="V130" s="11">
        <v>45199</v>
      </c>
      <c r="W130" s="10">
        <v>72706</v>
      </c>
      <c r="X130" s="10">
        <v>47000</v>
      </c>
      <c r="Y130" s="10">
        <f t="shared" si="48"/>
        <v>119706</v>
      </c>
      <c r="Z130" s="47">
        <f t="shared" si="49"/>
        <v>102478</v>
      </c>
      <c r="AA130" s="47">
        <f t="shared" si="50"/>
        <v>-118.03829787234044</v>
      </c>
      <c r="AB130" s="48">
        <f t="shared" ref="AB130:AB138" si="51">AB129</f>
        <v>17228</v>
      </c>
    </row>
    <row r="131" spans="1:28" customFormat="1" x14ac:dyDescent="0.3">
      <c r="A131" s="5">
        <v>131</v>
      </c>
      <c r="B131" s="38" t="s">
        <v>431</v>
      </c>
      <c r="C131" s="32" t="s">
        <v>431</v>
      </c>
      <c r="D131" s="32" t="s">
        <v>431</v>
      </c>
      <c r="E131" s="32" t="s">
        <v>431</v>
      </c>
      <c r="F131" s="32" t="s">
        <v>431</v>
      </c>
      <c r="G131" s="32" t="s">
        <v>431</v>
      </c>
      <c r="H131" s="31" t="s">
        <v>431</v>
      </c>
      <c r="I131" s="32" t="s">
        <v>431</v>
      </c>
      <c r="J131" s="32" t="s">
        <v>431</v>
      </c>
      <c r="K131" s="32" t="s">
        <v>431</v>
      </c>
      <c r="L131" s="39" t="s">
        <v>431</v>
      </c>
      <c r="N131">
        <v>141</v>
      </c>
      <c r="O131" s="20">
        <v>149</v>
      </c>
      <c r="P131" s="10" t="s">
        <v>163</v>
      </c>
      <c r="Q131" s="10" t="s">
        <v>171</v>
      </c>
      <c r="R131" s="10" t="s">
        <v>316</v>
      </c>
      <c r="S131" s="10">
        <v>393</v>
      </c>
      <c r="T131" s="10" t="s">
        <v>172</v>
      </c>
      <c r="U131" s="46" t="s">
        <v>438</v>
      </c>
      <c r="V131" s="11">
        <v>45474</v>
      </c>
      <c r="W131" s="10">
        <v>85010</v>
      </c>
      <c r="X131" s="10">
        <v>47000</v>
      </c>
      <c r="Y131" s="10">
        <f t="shared" si="48"/>
        <v>132010</v>
      </c>
      <c r="Z131" s="47">
        <f t="shared" si="49"/>
        <v>114782</v>
      </c>
      <c r="AA131" s="47">
        <f t="shared" si="50"/>
        <v>-144.21702127659574</v>
      </c>
      <c r="AB131" s="48">
        <f t="shared" si="51"/>
        <v>17228</v>
      </c>
    </row>
    <row r="132" spans="1:28" x14ac:dyDescent="0.3">
      <c r="A132" s="5">
        <v>132</v>
      </c>
      <c r="B132" s="40">
        <v>126</v>
      </c>
      <c r="C132" s="28" t="s">
        <v>274</v>
      </c>
      <c r="D132" s="28" t="s">
        <v>275</v>
      </c>
      <c r="E132" s="28" t="s">
        <v>361</v>
      </c>
      <c r="F132" s="28">
        <v>40</v>
      </c>
      <c r="G132" s="28" t="s">
        <v>279</v>
      </c>
      <c r="H132" s="28" t="s">
        <v>430</v>
      </c>
      <c r="I132" s="29">
        <v>45838</v>
      </c>
      <c r="J132" s="29">
        <f>EDATE(I132,K132)</f>
        <v>46507</v>
      </c>
      <c r="K132" s="28">
        <v>22</v>
      </c>
      <c r="L132" s="41">
        <f ca="1">IF(J132 &lt; TODAY(), -DATEDIF(J132, TODAY(), "M"), DATEDIF(TODAY(), J132, "M"))</f>
        <v>11</v>
      </c>
      <c r="N132" s="5">
        <v>142</v>
      </c>
      <c r="O132" s="20">
        <v>149</v>
      </c>
      <c r="P132" s="10" t="s">
        <v>163</v>
      </c>
      <c r="Q132" s="10" t="s">
        <v>171</v>
      </c>
      <c r="R132" s="10" t="s">
        <v>316</v>
      </c>
      <c r="S132" s="10">
        <v>393</v>
      </c>
      <c r="T132" s="10" t="s">
        <v>172</v>
      </c>
      <c r="U132" s="46" t="s">
        <v>438</v>
      </c>
      <c r="V132" s="11">
        <v>45474</v>
      </c>
      <c r="W132" s="10">
        <v>85010</v>
      </c>
      <c r="X132" s="10">
        <v>47000</v>
      </c>
      <c r="Y132" s="10">
        <f t="shared" si="48"/>
        <v>132010</v>
      </c>
      <c r="Z132" s="47">
        <f t="shared" si="49"/>
        <v>114782</v>
      </c>
      <c r="AA132" s="47">
        <f t="shared" si="50"/>
        <v>-144.21702127659574</v>
      </c>
      <c r="AB132" s="48">
        <f t="shared" si="51"/>
        <v>17228</v>
      </c>
    </row>
    <row r="133" spans="1:28" x14ac:dyDescent="0.3">
      <c r="A133" s="33">
        <v>133</v>
      </c>
      <c r="B133" s="34">
        <v>126</v>
      </c>
      <c r="C133" s="22" t="s">
        <v>274</v>
      </c>
      <c r="D133" s="22" t="s">
        <v>275</v>
      </c>
      <c r="E133" s="22" t="s">
        <v>361</v>
      </c>
      <c r="F133" s="22">
        <v>40</v>
      </c>
      <c r="G133" s="22" t="s">
        <v>279</v>
      </c>
      <c r="H133" s="22" t="s">
        <v>430</v>
      </c>
      <c r="I133" s="23">
        <v>45838</v>
      </c>
      <c r="J133" s="23">
        <f>EDATE(I133,K133)</f>
        <v>46507</v>
      </c>
      <c r="K133" s="22">
        <v>22</v>
      </c>
      <c r="L133" s="35">
        <f ca="1">IF(J133 &lt; TODAY(), -DATEDIF(J133, TODAY(), "M"), DATEDIF(TODAY(), J133, "M"))</f>
        <v>11</v>
      </c>
      <c r="N133">
        <v>143</v>
      </c>
      <c r="O133" s="20">
        <v>149</v>
      </c>
      <c r="P133" s="10" t="s">
        <v>163</v>
      </c>
      <c r="Q133" s="10" t="s">
        <v>171</v>
      </c>
      <c r="R133" s="10" t="s">
        <v>316</v>
      </c>
      <c r="S133" s="10">
        <v>393</v>
      </c>
      <c r="T133" s="10" t="s">
        <v>172</v>
      </c>
      <c r="U133" s="46" t="s">
        <v>438</v>
      </c>
      <c r="V133" s="11">
        <v>45931</v>
      </c>
      <c r="W133" s="10">
        <v>9514</v>
      </c>
      <c r="X133" s="10">
        <v>47000</v>
      </c>
      <c r="Y133" s="10">
        <f t="shared" si="48"/>
        <v>56514</v>
      </c>
      <c r="Z133" s="47">
        <f t="shared" si="49"/>
        <v>39286</v>
      </c>
      <c r="AA133" s="47">
        <f t="shared" si="50"/>
        <v>16.412765957446808</v>
      </c>
      <c r="AB133" s="48">
        <f t="shared" si="51"/>
        <v>17228</v>
      </c>
    </row>
    <row r="134" spans="1:28" x14ac:dyDescent="0.3">
      <c r="A134" s="5">
        <v>134</v>
      </c>
      <c r="B134" s="34">
        <v>126</v>
      </c>
      <c r="C134" s="22" t="s">
        <v>274</v>
      </c>
      <c r="D134" s="22" t="s">
        <v>275</v>
      </c>
      <c r="E134" s="22" t="s">
        <v>361</v>
      </c>
      <c r="F134" s="22">
        <v>40</v>
      </c>
      <c r="G134" s="22" t="s">
        <v>279</v>
      </c>
      <c r="H134" s="22" t="s">
        <v>430</v>
      </c>
      <c r="I134" s="23">
        <v>45838</v>
      </c>
      <c r="J134" s="23">
        <f>EDATE(I134,K134)</f>
        <v>46507</v>
      </c>
      <c r="K134" s="22">
        <v>22</v>
      </c>
      <c r="L134" s="35">
        <f ca="1">IF(J134 &lt; TODAY(), -DATEDIF(J134, TODAY(), "M"), DATEDIF(TODAY(), J134, "M"))</f>
        <v>11</v>
      </c>
      <c r="N134">
        <v>144</v>
      </c>
      <c r="O134" s="20">
        <v>149</v>
      </c>
      <c r="P134" s="10" t="s">
        <v>163</v>
      </c>
      <c r="Q134" s="10" t="s">
        <v>171</v>
      </c>
      <c r="R134" s="10" t="s">
        <v>316</v>
      </c>
      <c r="S134" s="10">
        <v>393</v>
      </c>
      <c r="T134" s="10" t="s">
        <v>172</v>
      </c>
      <c r="U134" s="46" t="s">
        <v>438</v>
      </c>
      <c r="V134" s="11">
        <v>45931</v>
      </c>
      <c r="W134" s="10">
        <v>9514</v>
      </c>
      <c r="X134" s="10">
        <v>47000</v>
      </c>
      <c r="Y134" s="10">
        <f t="shared" si="48"/>
        <v>56514</v>
      </c>
      <c r="Z134" s="47">
        <f t="shared" si="49"/>
        <v>39286</v>
      </c>
      <c r="AA134" s="47">
        <f t="shared" si="50"/>
        <v>16.412765957446808</v>
      </c>
      <c r="AB134" s="48">
        <f t="shared" si="51"/>
        <v>17228</v>
      </c>
    </row>
    <row r="135" spans="1:28" x14ac:dyDescent="0.3">
      <c r="A135" s="5">
        <v>135</v>
      </c>
      <c r="B135" s="36">
        <v>126</v>
      </c>
      <c r="C135" s="26" t="s">
        <v>274</v>
      </c>
      <c r="D135" s="26" t="s">
        <v>275</v>
      </c>
      <c r="E135" s="26" t="s">
        <v>361</v>
      </c>
      <c r="F135" s="26">
        <v>40</v>
      </c>
      <c r="G135" s="26" t="s">
        <v>279</v>
      </c>
      <c r="H135" s="26" t="s">
        <v>430</v>
      </c>
      <c r="I135" s="27">
        <v>45838</v>
      </c>
      <c r="J135" s="27">
        <f>EDATE(I135,K135)</f>
        <v>46507</v>
      </c>
      <c r="K135" s="26">
        <v>22</v>
      </c>
      <c r="L135" s="37">
        <f ca="1">IF(J135 &lt; TODAY(), -DATEDIF(J135, TODAY(), "M"), DATEDIF(TODAY(), J135, "M"))</f>
        <v>11</v>
      </c>
      <c r="N135">
        <v>145</v>
      </c>
      <c r="O135" s="20">
        <v>149</v>
      </c>
      <c r="P135" s="10" t="s">
        <v>163</v>
      </c>
      <c r="Q135" s="10" t="s">
        <v>171</v>
      </c>
      <c r="R135" s="10" t="s">
        <v>316</v>
      </c>
      <c r="S135" s="10">
        <v>393</v>
      </c>
      <c r="T135" s="10" t="s">
        <v>172</v>
      </c>
      <c r="U135" s="46" t="s">
        <v>438</v>
      </c>
      <c r="V135" s="11">
        <v>45991</v>
      </c>
      <c r="W135" s="10">
        <v>13448</v>
      </c>
      <c r="X135" s="10">
        <v>25000</v>
      </c>
      <c r="Y135" s="10">
        <f t="shared" si="48"/>
        <v>38448</v>
      </c>
      <c r="Z135" s="47">
        <f t="shared" si="49"/>
        <v>21220</v>
      </c>
      <c r="AA135" s="47">
        <f t="shared" si="50"/>
        <v>15.120000000000001</v>
      </c>
      <c r="AB135" s="48">
        <f t="shared" si="51"/>
        <v>17228</v>
      </c>
    </row>
    <row r="136" spans="1:28" customFormat="1" x14ac:dyDescent="0.3">
      <c r="A136" s="33">
        <v>136</v>
      </c>
      <c r="B136" s="38" t="s">
        <v>431</v>
      </c>
      <c r="C136" s="32" t="s">
        <v>431</v>
      </c>
      <c r="D136" s="32" t="s">
        <v>431</v>
      </c>
      <c r="E136" s="32" t="s">
        <v>431</v>
      </c>
      <c r="F136" s="32" t="s">
        <v>431</v>
      </c>
      <c r="G136" s="32" t="s">
        <v>431</v>
      </c>
      <c r="H136" s="31" t="s">
        <v>431</v>
      </c>
      <c r="I136" s="32" t="s">
        <v>431</v>
      </c>
      <c r="J136" s="32" t="s">
        <v>431</v>
      </c>
      <c r="K136" s="32" t="s">
        <v>431</v>
      </c>
      <c r="L136" s="39" t="s">
        <v>431</v>
      </c>
      <c r="N136" s="5">
        <v>146</v>
      </c>
      <c r="O136" s="20">
        <v>149</v>
      </c>
      <c r="P136" s="10" t="s">
        <v>163</v>
      </c>
      <c r="Q136" s="10" t="s">
        <v>171</v>
      </c>
      <c r="R136" s="10" t="s">
        <v>316</v>
      </c>
      <c r="S136" s="10">
        <v>393</v>
      </c>
      <c r="T136" s="10" t="s">
        <v>172</v>
      </c>
      <c r="U136" s="46" t="s">
        <v>438</v>
      </c>
      <c r="V136" s="11">
        <v>45991</v>
      </c>
      <c r="W136" s="10">
        <v>13448</v>
      </c>
      <c r="X136" s="10">
        <v>25000</v>
      </c>
      <c r="Y136" s="10">
        <f t="shared" si="48"/>
        <v>38448</v>
      </c>
      <c r="Z136" s="47">
        <f t="shared" si="49"/>
        <v>21220</v>
      </c>
      <c r="AA136" s="47">
        <f t="shared" si="50"/>
        <v>15.120000000000001</v>
      </c>
      <c r="AB136" s="48">
        <f t="shared" si="51"/>
        <v>17228</v>
      </c>
    </row>
    <row r="137" spans="1:28" x14ac:dyDescent="0.3">
      <c r="A137" s="5">
        <v>137</v>
      </c>
      <c r="B137" s="40">
        <v>127</v>
      </c>
      <c r="C137" s="28" t="s">
        <v>274</v>
      </c>
      <c r="D137" s="28" t="s">
        <v>275</v>
      </c>
      <c r="E137" s="28" t="s">
        <v>361</v>
      </c>
      <c r="F137" s="28">
        <v>365</v>
      </c>
      <c r="G137" s="28" t="s">
        <v>282</v>
      </c>
      <c r="H137" s="28" t="s">
        <v>430</v>
      </c>
      <c r="I137" s="29">
        <v>45900</v>
      </c>
      <c r="J137" s="29">
        <f>EDATE(I137,K137)</f>
        <v>46568</v>
      </c>
      <c r="K137" s="28">
        <v>22</v>
      </c>
      <c r="L137" s="41">
        <f ca="1">IF(J137 &lt; TODAY(), -DATEDIF(J137, TODAY(), "M"), DATEDIF(TODAY(), J137, "M"))</f>
        <v>13</v>
      </c>
      <c r="N137">
        <v>147</v>
      </c>
      <c r="O137" s="20">
        <v>149</v>
      </c>
      <c r="P137" s="10" t="s">
        <v>163</v>
      </c>
      <c r="Q137" s="10" t="s">
        <v>171</v>
      </c>
      <c r="R137" s="10" t="s">
        <v>316</v>
      </c>
      <c r="S137" s="10">
        <v>393</v>
      </c>
      <c r="T137" s="10" t="s">
        <v>172</v>
      </c>
      <c r="U137" s="46" t="s">
        <v>438</v>
      </c>
      <c r="V137" s="11">
        <v>46022</v>
      </c>
      <c r="W137" s="10">
        <v>15410</v>
      </c>
      <c r="X137" s="10">
        <v>25000</v>
      </c>
      <c r="Y137" s="10">
        <f t="shared" si="48"/>
        <v>40410</v>
      </c>
      <c r="Z137" s="47">
        <f t="shared" si="49"/>
        <v>23182</v>
      </c>
      <c r="AA137" s="47">
        <f t="shared" si="50"/>
        <v>7.2720000000000002</v>
      </c>
      <c r="AB137" s="48">
        <f t="shared" si="51"/>
        <v>17228</v>
      </c>
    </row>
    <row r="138" spans="1:28" x14ac:dyDescent="0.3">
      <c r="A138" s="5">
        <v>138</v>
      </c>
      <c r="B138" s="34">
        <v>127</v>
      </c>
      <c r="C138" s="22" t="s">
        <v>274</v>
      </c>
      <c r="D138" s="22" t="s">
        <v>275</v>
      </c>
      <c r="E138" s="22" t="s">
        <v>361</v>
      </c>
      <c r="F138" s="22">
        <v>365</v>
      </c>
      <c r="G138" s="22" t="s">
        <v>282</v>
      </c>
      <c r="H138" s="22" t="s">
        <v>430</v>
      </c>
      <c r="I138" s="23">
        <v>45900</v>
      </c>
      <c r="J138" s="23">
        <f>EDATE(I138,K138)</f>
        <v>46568</v>
      </c>
      <c r="K138" s="22">
        <v>22</v>
      </c>
      <c r="L138" s="35">
        <f ca="1">IF(J138 &lt; TODAY(), -DATEDIF(J138, TODAY(), "M"), DATEDIF(TODAY(), J138, "M"))</f>
        <v>13</v>
      </c>
      <c r="N138" s="5">
        <v>148</v>
      </c>
      <c r="O138" s="20">
        <v>149</v>
      </c>
      <c r="P138" s="10" t="s">
        <v>163</v>
      </c>
      <c r="Q138" s="10" t="s">
        <v>171</v>
      </c>
      <c r="R138" s="10" t="s">
        <v>316</v>
      </c>
      <c r="S138" s="10">
        <v>393</v>
      </c>
      <c r="T138" s="10" t="s">
        <v>172</v>
      </c>
      <c r="U138" s="46" t="s">
        <v>438</v>
      </c>
      <c r="V138" s="11">
        <v>46022</v>
      </c>
      <c r="W138" s="10">
        <v>15410</v>
      </c>
      <c r="X138" s="10">
        <v>25000</v>
      </c>
      <c r="Y138" s="10">
        <f t="shared" si="48"/>
        <v>40410</v>
      </c>
      <c r="Z138" s="47">
        <f t="shared" si="49"/>
        <v>23182</v>
      </c>
      <c r="AA138" s="47">
        <f t="shared" si="50"/>
        <v>7.2720000000000002</v>
      </c>
      <c r="AB138" s="48">
        <f t="shared" si="51"/>
        <v>17228</v>
      </c>
    </row>
    <row r="139" spans="1:28" x14ac:dyDescent="0.3">
      <c r="A139" s="33">
        <v>139</v>
      </c>
      <c r="B139" s="34">
        <v>127</v>
      </c>
      <c r="C139" s="22" t="s">
        <v>274</v>
      </c>
      <c r="D139" s="22" t="s">
        <v>275</v>
      </c>
      <c r="E139" s="22" t="s">
        <v>361</v>
      </c>
      <c r="F139" s="22">
        <v>365</v>
      </c>
      <c r="G139" s="22" t="s">
        <v>282</v>
      </c>
      <c r="H139" s="22" t="s">
        <v>430</v>
      </c>
      <c r="I139" s="23">
        <v>45900</v>
      </c>
      <c r="J139" s="23">
        <f>EDATE(I139,K139)</f>
        <v>46568</v>
      </c>
      <c r="K139" s="22">
        <v>22</v>
      </c>
      <c r="L139" s="35">
        <f ca="1">IF(J139 &lt; TODAY(), -DATEDIF(J139, TODAY(), "M"), DATEDIF(TODAY(), J139, "M"))</f>
        <v>13</v>
      </c>
      <c r="N139">
        <v>149</v>
      </c>
      <c r="O139" s="20" t="s">
        <v>431</v>
      </c>
      <c r="P139" s="10" t="s">
        <v>431</v>
      </c>
      <c r="Q139" s="10" t="s">
        <v>431</v>
      </c>
      <c r="R139" s="10" t="s">
        <v>431</v>
      </c>
      <c r="S139" s="10" t="s">
        <v>431</v>
      </c>
      <c r="T139" s="10" t="s">
        <v>431</v>
      </c>
      <c r="U139" s="10" t="s">
        <v>431</v>
      </c>
      <c r="V139" s="11" t="s">
        <v>431</v>
      </c>
      <c r="W139" s="11" t="s">
        <v>431</v>
      </c>
      <c r="X139" s="10" t="s">
        <v>431</v>
      </c>
      <c r="Y139" s="10" t="s">
        <v>431</v>
      </c>
      <c r="Z139" s="47" t="s">
        <v>431</v>
      </c>
      <c r="AA139" s="47" t="s">
        <v>431</v>
      </c>
      <c r="AB139" s="48" t="s">
        <v>431</v>
      </c>
    </row>
    <row r="140" spans="1:28" x14ac:dyDescent="0.3">
      <c r="A140" s="5">
        <v>140</v>
      </c>
      <c r="B140" s="36">
        <v>127</v>
      </c>
      <c r="C140" s="26" t="s">
        <v>274</v>
      </c>
      <c r="D140" s="26" t="s">
        <v>275</v>
      </c>
      <c r="E140" s="26" t="s">
        <v>361</v>
      </c>
      <c r="F140" s="26">
        <v>365</v>
      </c>
      <c r="G140" s="26" t="s">
        <v>282</v>
      </c>
      <c r="H140" s="26" t="s">
        <v>430</v>
      </c>
      <c r="I140" s="27">
        <v>45900</v>
      </c>
      <c r="J140" s="27">
        <f>EDATE(I140,K140)</f>
        <v>46568</v>
      </c>
      <c r="K140" s="26">
        <v>22</v>
      </c>
      <c r="L140" s="37">
        <f ca="1">IF(J140 &lt; TODAY(), -DATEDIF(J140, TODAY(), "M"), DATEDIF(TODAY(), J140, "M"))</f>
        <v>13</v>
      </c>
      <c r="N140" s="5">
        <v>150</v>
      </c>
      <c r="O140" s="20">
        <v>150</v>
      </c>
      <c r="P140" s="10" t="s">
        <v>163</v>
      </c>
      <c r="Q140" s="10" t="s">
        <v>168</v>
      </c>
      <c r="R140" s="10" t="s">
        <v>313</v>
      </c>
      <c r="S140" s="10">
        <v>294</v>
      </c>
      <c r="T140" s="10" t="s">
        <v>169</v>
      </c>
      <c r="U140" s="46" t="s">
        <v>446</v>
      </c>
      <c r="V140" s="11">
        <v>44305</v>
      </c>
      <c r="W140" s="10">
        <v>94454</v>
      </c>
      <c r="X140" s="10">
        <v>61000</v>
      </c>
      <c r="Y140" s="10">
        <f t="shared" ref="Y140:Y145" si="52">W140+X140</f>
        <v>155454</v>
      </c>
      <c r="Z140" s="47">
        <f t="shared" ref="Z140:Z145" si="53">Y140-AB140</f>
        <v>133094</v>
      </c>
      <c r="AA140" s="47">
        <f t="shared" ref="AA140:AA145" si="54">(AB140-W140)/X140*100</f>
        <v>-118.18688524590164</v>
      </c>
      <c r="AB140" s="48">
        <v>22360</v>
      </c>
    </row>
    <row r="141" spans="1:28" customFormat="1" x14ac:dyDescent="0.3">
      <c r="A141" s="5">
        <v>141</v>
      </c>
      <c r="B141" s="38" t="s">
        <v>431</v>
      </c>
      <c r="C141" s="32" t="s">
        <v>431</v>
      </c>
      <c r="D141" s="32" t="s">
        <v>431</v>
      </c>
      <c r="E141" s="32" t="s">
        <v>431</v>
      </c>
      <c r="F141" s="32" t="s">
        <v>431</v>
      </c>
      <c r="G141" s="32" t="s">
        <v>431</v>
      </c>
      <c r="H141" s="31" t="s">
        <v>431</v>
      </c>
      <c r="I141" s="32" t="s">
        <v>431</v>
      </c>
      <c r="J141" s="32" t="s">
        <v>431</v>
      </c>
      <c r="K141" s="32" t="s">
        <v>431</v>
      </c>
      <c r="L141" s="39" t="s">
        <v>431</v>
      </c>
      <c r="N141">
        <v>151</v>
      </c>
      <c r="O141" s="20">
        <v>150</v>
      </c>
      <c r="P141" s="10" t="s">
        <v>163</v>
      </c>
      <c r="Q141" s="10" t="s">
        <v>168</v>
      </c>
      <c r="R141" s="10" t="s">
        <v>313</v>
      </c>
      <c r="S141" s="10">
        <v>294</v>
      </c>
      <c r="T141" s="10" t="s">
        <v>169</v>
      </c>
      <c r="U141" s="46" t="s">
        <v>446</v>
      </c>
      <c r="V141" s="11">
        <v>44305</v>
      </c>
      <c r="W141" s="10">
        <v>94454</v>
      </c>
      <c r="X141" s="10">
        <v>61000</v>
      </c>
      <c r="Y141" s="10">
        <f t="shared" si="52"/>
        <v>155454</v>
      </c>
      <c r="Z141" s="47">
        <f t="shared" si="53"/>
        <v>133094</v>
      </c>
      <c r="AA141" s="47">
        <f t="shared" si="54"/>
        <v>-118.18688524590164</v>
      </c>
      <c r="AB141" s="48">
        <f>AB140</f>
        <v>22360</v>
      </c>
    </row>
    <row r="142" spans="1:28" x14ac:dyDescent="0.3">
      <c r="A142" s="33">
        <v>142</v>
      </c>
      <c r="B142" s="40">
        <v>128</v>
      </c>
      <c r="C142" s="28" t="s">
        <v>274</v>
      </c>
      <c r="D142" s="28" t="s">
        <v>275</v>
      </c>
      <c r="E142" s="28" t="s">
        <v>361</v>
      </c>
      <c r="F142" s="28">
        <v>381</v>
      </c>
      <c r="G142" s="28" t="s">
        <v>281</v>
      </c>
      <c r="H142" s="28" t="s">
        <v>430</v>
      </c>
      <c r="I142" s="29">
        <v>45261</v>
      </c>
      <c r="J142" s="29">
        <f>EDATE(I142,K142)</f>
        <v>45931</v>
      </c>
      <c r="K142" s="28">
        <v>22</v>
      </c>
      <c r="L142" s="41">
        <f ca="1">IF(J142 &lt; TODAY(), -DATEDIF(J142, TODAY(), "M"), DATEDIF(TODAY(), J142, "M"))</f>
        <v>-7</v>
      </c>
      <c r="N142" s="5">
        <v>152</v>
      </c>
      <c r="O142" s="20">
        <v>150</v>
      </c>
      <c r="P142" s="10" t="s">
        <v>163</v>
      </c>
      <c r="Q142" s="10" t="s">
        <v>168</v>
      </c>
      <c r="R142" s="10" t="s">
        <v>313</v>
      </c>
      <c r="S142" s="10">
        <v>294</v>
      </c>
      <c r="T142" s="10" t="s">
        <v>169</v>
      </c>
      <c r="U142" s="46" t="s">
        <v>446</v>
      </c>
      <c r="V142" s="11">
        <v>44687</v>
      </c>
      <c r="W142" s="10">
        <v>94454</v>
      </c>
      <c r="X142" s="10">
        <v>61000</v>
      </c>
      <c r="Y142" s="10">
        <f t="shared" si="52"/>
        <v>155454</v>
      </c>
      <c r="Z142" s="47">
        <f t="shared" si="53"/>
        <v>133094</v>
      </c>
      <c r="AA142" s="47">
        <f t="shared" si="54"/>
        <v>-118.18688524590164</v>
      </c>
      <c r="AB142" s="48">
        <f>AB141</f>
        <v>22360</v>
      </c>
    </row>
    <row r="143" spans="1:28" x14ac:dyDescent="0.3">
      <c r="A143" s="5">
        <v>143</v>
      </c>
      <c r="B143" s="34">
        <v>128</v>
      </c>
      <c r="C143" s="22" t="s">
        <v>274</v>
      </c>
      <c r="D143" s="22" t="s">
        <v>275</v>
      </c>
      <c r="E143" s="22" t="s">
        <v>361</v>
      </c>
      <c r="F143" s="22">
        <v>381</v>
      </c>
      <c r="G143" s="22" t="s">
        <v>281</v>
      </c>
      <c r="H143" s="22" t="s">
        <v>430</v>
      </c>
      <c r="I143" s="23">
        <v>45261</v>
      </c>
      <c r="J143" s="23">
        <f>EDATE(I143,K143)</f>
        <v>45931</v>
      </c>
      <c r="K143" s="22">
        <v>22</v>
      </c>
      <c r="L143" s="35">
        <f ca="1">IF(J143 &lt; TODAY(), -DATEDIF(J143, TODAY(), "M"), DATEDIF(TODAY(), J143, "M"))</f>
        <v>-7</v>
      </c>
      <c r="N143">
        <v>153</v>
      </c>
      <c r="O143" s="20">
        <v>150</v>
      </c>
      <c r="P143" s="10" t="s">
        <v>163</v>
      </c>
      <c r="Q143" s="10" t="s">
        <v>168</v>
      </c>
      <c r="R143" s="10" t="s">
        <v>313</v>
      </c>
      <c r="S143" s="10">
        <v>294</v>
      </c>
      <c r="T143" s="10" t="s">
        <v>169</v>
      </c>
      <c r="U143" s="46" t="s">
        <v>446</v>
      </c>
      <c r="V143" s="11">
        <v>44687</v>
      </c>
      <c r="W143" s="10">
        <v>94454</v>
      </c>
      <c r="X143" s="10">
        <v>61000</v>
      </c>
      <c r="Y143" s="10">
        <f t="shared" si="52"/>
        <v>155454</v>
      </c>
      <c r="Z143" s="47">
        <f t="shared" si="53"/>
        <v>133094</v>
      </c>
      <c r="AA143" s="47">
        <f t="shared" si="54"/>
        <v>-118.18688524590164</v>
      </c>
      <c r="AB143" s="48">
        <f>AB142</f>
        <v>22360</v>
      </c>
    </row>
    <row r="144" spans="1:28" x14ac:dyDescent="0.3">
      <c r="A144" s="5">
        <v>144</v>
      </c>
      <c r="B144" s="34">
        <v>128</v>
      </c>
      <c r="C144" s="22" t="s">
        <v>274</v>
      </c>
      <c r="D144" s="22" t="s">
        <v>275</v>
      </c>
      <c r="E144" s="22" t="s">
        <v>361</v>
      </c>
      <c r="F144" s="22">
        <v>381</v>
      </c>
      <c r="G144" s="22" t="s">
        <v>281</v>
      </c>
      <c r="H144" s="22" t="s">
        <v>430</v>
      </c>
      <c r="I144" s="23">
        <v>45383</v>
      </c>
      <c r="J144" s="23">
        <f>EDATE(I144,K144)</f>
        <v>46054</v>
      </c>
      <c r="K144" s="22">
        <v>22</v>
      </c>
      <c r="L144" s="35">
        <f ca="1">IF(J144 &lt; TODAY(), -DATEDIF(J144, TODAY(), "M"), DATEDIF(TODAY(), J144, "M"))</f>
        <v>-3</v>
      </c>
      <c r="N144" s="5">
        <v>154</v>
      </c>
      <c r="O144" s="20">
        <v>150</v>
      </c>
      <c r="P144" s="10" t="s">
        <v>163</v>
      </c>
      <c r="Q144" s="10" t="s">
        <v>168</v>
      </c>
      <c r="R144" s="10" t="s">
        <v>313</v>
      </c>
      <c r="S144" s="10">
        <v>294</v>
      </c>
      <c r="T144" s="10" t="s">
        <v>169</v>
      </c>
      <c r="U144" s="46" t="s">
        <v>446</v>
      </c>
      <c r="V144" s="11">
        <v>45931</v>
      </c>
      <c r="W144" s="10">
        <v>18288</v>
      </c>
      <c r="X144" s="10">
        <v>47000</v>
      </c>
      <c r="Y144" s="10">
        <f t="shared" si="52"/>
        <v>65288</v>
      </c>
      <c r="Z144" s="47">
        <f t="shared" si="53"/>
        <v>42928</v>
      </c>
      <c r="AA144" s="47">
        <f t="shared" si="54"/>
        <v>8.6638297872340431</v>
      </c>
      <c r="AB144" s="48">
        <f>AB143</f>
        <v>22360</v>
      </c>
    </row>
    <row r="145" spans="1:28" x14ac:dyDescent="0.3">
      <c r="A145" s="33">
        <v>145</v>
      </c>
      <c r="B145" s="36">
        <v>128</v>
      </c>
      <c r="C145" s="26" t="s">
        <v>274</v>
      </c>
      <c r="D145" s="26" t="s">
        <v>275</v>
      </c>
      <c r="E145" s="26" t="s">
        <v>361</v>
      </c>
      <c r="F145" s="26">
        <v>381</v>
      </c>
      <c r="G145" s="26" t="s">
        <v>281</v>
      </c>
      <c r="H145" s="26" t="s">
        <v>430</v>
      </c>
      <c r="I145" s="27">
        <v>45383</v>
      </c>
      <c r="J145" s="27">
        <f>EDATE(I145,K145)</f>
        <v>46054</v>
      </c>
      <c r="K145" s="26">
        <v>22</v>
      </c>
      <c r="L145" s="37">
        <f ca="1">IF(J145 &lt; TODAY(), -DATEDIF(J145, TODAY(), "M"), DATEDIF(TODAY(), J145, "M"))</f>
        <v>-3</v>
      </c>
      <c r="N145">
        <v>155</v>
      </c>
      <c r="O145" s="20">
        <v>150</v>
      </c>
      <c r="P145" s="10" t="s">
        <v>163</v>
      </c>
      <c r="Q145" s="10" t="s">
        <v>168</v>
      </c>
      <c r="R145" s="10" t="s">
        <v>313</v>
      </c>
      <c r="S145" s="10">
        <v>294</v>
      </c>
      <c r="T145" s="10" t="s">
        <v>169</v>
      </c>
      <c r="U145" s="46" t="s">
        <v>446</v>
      </c>
      <c r="V145" s="11">
        <v>45931</v>
      </c>
      <c r="W145" s="10">
        <v>18288</v>
      </c>
      <c r="X145" s="10">
        <v>47000</v>
      </c>
      <c r="Y145" s="10">
        <f t="shared" si="52"/>
        <v>65288</v>
      </c>
      <c r="Z145" s="47">
        <f t="shared" si="53"/>
        <v>42928</v>
      </c>
      <c r="AA145" s="47">
        <f t="shared" si="54"/>
        <v>8.6638297872340431</v>
      </c>
      <c r="AB145" s="48">
        <f>AB144</f>
        <v>22360</v>
      </c>
    </row>
    <row r="146" spans="1:28" customFormat="1" x14ac:dyDescent="0.3">
      <c r="A146" s="5">
        <v>146</v>
      </c>
      <c r="B146" s="38" t="s">
        <v>431</v>
      </c>
      <c r="C146" s="32" t="s">
        <v>431</v>
      </c>
      <c r="D146" s="32" t="s">
        <v>431</v>
      </c>
      <c r="E146" s="32" t="s">
        <v>431</v>
      </c>
      <c r="F146" s="32" t="s">
        <v>431</v>
      </c>
      <c r="G146" s="32" t="s">
        <v>431</v>
      </c>
      <c r="H146" s="31" t="s">
        <v>431</v>
      </c>
      <c r="I146" s="32" t="s">
        <v>431</v>
      </c>
      <c r="J146" s="32" t="s">
        <v>431</v>
      </c>
      <c r="K146" s="32" t="s">
        <v>431</v>
      </c>
      <c r="L146" s="39" t="s">
        <v>431</v>
      </c>
      <c r="N146" s="5">
        <v>156</v>
      </c>
      <c r="O146" s="20" t="s">
        <v>431</v>
      </c>
      <c r="P146" s="10" t="s">
        <v>431</v>
      </c>
      <c r="Q146" s="10" t="s">
        <v>431</v>
      </c>
      <c r="R146" s="10" t="s">
        <v>431</v>
      </c>
      <c r="S146" s="10" t="s">
        <v>431</v>
      </c>
      <c r="T146" s="10" t="s">
        <v>431</v>
      </c>
      <c r="U146" s="10" t="s">
        <v>431</v>
      </c>
      <c r="V146" s="11" t="s">
        <v>431</v>
      </c>
      <c r="W146" s="11" t="s">
        <v>431</v>
      </c>
      <c r="X146" s="10" t="s">
        <v>431</v>
      </c>
      <c r="Y146" s="10" t="s">
        <v>431</v>
      </c>
      <c r="Z146" s="47" t="s">
        <v>431</v>
      </c>
      <c r="AA146" s="47" t="s">
        <v>431</v>
      </c>
      <c r="AB146" s="48" t="s">
        <v>431</v>
      </c>
    </row>
    <row r="147" spans="1:28" x14ac:dyDescent="0.3">
      <c r="A147" s="5">
        <v>147</v>
      </c>
      <c r="B147" s="40">
        <v>129</v>
      </c>
      <c r="C147" s="28" t="s">
        <v>274</v>
      </c>
      <c r="D147" s="28" t="s">
        <v>275</v>
      </c>
      <c r="E147" s="28" t="s">
        <v>361</v>
      </c>
      <c r="F147" s="28">
        <v>370</v>
      </c>
      <c r="G147" s="28" t="s">
        <v>278</v>
      </c>
      <c r="H147" s="28" t="s">
        <v>430</v>
      </c>
      <c r="I147" s="29">
        <v>45597</v>
      </c>
      <c r="J147" s="29">
        <f>EDATE(I147,K147)</f>
        <v>46266</v>
      </c>
      <c r="K147" s="28">
        <v>22</v>
      </c>
      <c r="L147" s="41">
        <f ca="1">IF(J147 &lt; TODAY(), -DATEDIF(J147, TODAY(), "M"), DATEDIF(TODAY(), J147, "M"))</f>
        <v>3</v>
      </c>
      <c r="N147">
        <v>157</v>
      </c>
      <c r="O147" s="20">
        <v>152</v>
      </c>
      <c r="P147" s="10" t="s">
        <v>163</v>
      </c>
      <c r="Q147" s="10" t="s">
        <v>168</v>
      </c>
      <c r="R147" s="10" t="s">
        <v>313</v>
      </c>
      <c r="S147" s="10">
        <v>284</v>
      </c>
      <c r="T147" s="10" t="s">
        <v>170</v>
      </c>
      <c r="U147" s="46" t="s">
        <v>446</v>
      </c>
      <c r="V147" s="11">
        <v>45056</v>
      </c>
      <c r="W147" s="10">
        <v>70978</v>
      </c>
      <c r="X147" s="10">
        <v>61000</v>
      </c>
      <c r="Y147" s="10">
        <f t="shared" ref="Y147:Y152" si="55">W147+X147</f>
        <v>131978</v>
      </c>
      <c r="Z147" s="47">
        <f t="shared" ref="Z147:Z152" si="56">Y147-AB147</f>
        <v>34458</v>
      </c>
      <c r="AA147" s="47">
        <f t="shared" ref="AA147:AA152" si="57">(AB147-W147)/X147*100</f>
        <v>43.511475409836066</v>
      </c>
      <c r="AB147" s="48">
        <v>97520</v>
      </c>
    </row>
    <row r="148" spans="1:28" x14ac:dyDescent="0.3">
      <c r="A148" s="33">
        <v>148</v>
      </c>
      <c r="B148" s="34">
        <v>129</v>
      </c>
      <c r="C148" s="22" t="s">
        <v>274</v>
      </c>
      <c r="D148" s="22" t="s">
        <v>275</v>
      </c>
      <c r="E148" s="22" t="s">
        <v>361</v>
      </c>
      <c r="F148" s="22">
        <v>370</v>
      </c>
      <c r="G148" s="22" t="s">
        <v>278</v>
      </c>
      <c r="H148" s="22" t="s">
        <v>430</v>
      </c>
      <c r="I148" s="23">
        <v>45597</v>
      </c>
      <c r="J148" s="23">
        <f>EDATE(I148,K148)</f>
        <v>46266</v>
      </c>
      <c r="K148" s="22">
        <v>22</v>
      </c>
      <c r="L148" s="35">
        <f ca="1">IF(J148 &lt; TODAY(), -DATEDIF(J148, TODAY(), "M"), DATEDIF(TODAY(), J148, "M"))</f>
        <v>3</v>
      </c>
      <c r="N148" s="5">
        <v>158</v>
      </c>
      <c r="O148" s="20">
        <v>152</v>
      </c>
      <c r="P148" s="10" t="s">
        <v>163</v>
      </c>
      <c r="Q148" s="10" t="s">
        <v>168</v>
      </c>
      <c r="R148" s="10" t="s">
        <v>313</v>
      </c>
      <c r="S148" s="10">
        <v>284</v>
      </c>
      <c r="T148" s="10" t="s">
        <v>170</v>
      </c>
      <c r="U148" s="46" t="s">
        <v>446</v>
      </c>
      <c r="V148" s="11">
        <v>45056</v>
      </c>
      <c r="W148" s="10">
        <v>70978</v>
      </c>
      <c r="X148" s="10">
        <v>61000</v>
      </c>
      <c r="Y148" s="10">
        <f t="shared" si="55"/>
        <v>131978</v>
      </c>
      <c r="Z148" s="47">
        <f t="shared" si="56"/>
        <v>34458</v>
      </c>
      <c r="AA148" s="47">
        <f t="shared" si="57"/>
        <v>43.511475409836066</v>
      </c>
      <c r="AB148" s="48">
        <f>AB147</f>
        <v>97520</v>
      </c>
    </row>
    <row r="149" spans="1:28" x14ac:dyDescent="0.3">
      <c r="A149" s="5">
        <v>149</v>
      </c>
      <c r="B149" s="34">
        <v>129</v>
      </c>
      <c r="C149" s="22" t="s">
        <v>274</v>
      </c>
      <c r="D149" s="22" t="s">
        <v>275</v>
      </c>
      <c r="E149" s="22" t="s">
        <v>361</v>
      </c>
      <c r="F149" s="22">
        <v>370</v>
      </c>
      <c r="G149" s="22" t="s">
        <v>278</v>
      </c>
      <c r="H149" s="22" t="s">
        <v>430</v>
      </c>
      <c r="I149" s="23">
        <v>45901</v>
      </c>
      <c r="J149" s="23">
        <f>EDATE(I149,K149)</f>
        <v>46569</v>
      </c>
      <c r="K149" s="22">
        <v>22</v>
      </c>
      <c r="L149" s="35">
        <f ca="1">IF(J149 &lt; TODAY(), -DATEDIF(J149, TODAY(), "M"), DATEDIF(TODAY(), J149, "M"))</f>
        <v>13</v>
      </c>
      <c r="N149">
        <v>159</v>
      </c>
      <c r="O149" s="20">
        <v>152</v>
      </c>
      <c r="P149" s="10" t="s">
        <v>163</v>
      </c>
      <c r="Q149" s="10" t="s">
        <v>168</v>
      </c>
      <c r="R149" s="10" t="s">
        <v>313</v>
      </c>
      <c r="S149" s="10">
        <v>284</v>
      </c>
      <c r="T149" s="10" t="s">
        <v>170</v>
      </c>
      <c r="U149" s="46" t="s">
        <v>446</v>
      </c>
      <c r="V149" s="11">
        <v>45056</v>
      </c>
      <c r="W149" s="10">
        <v>70978</v>
      </c>
      <c r="X149" s="10">
        <v>61000</v>
      </c>
      <c r="Y149" s="10">
        <f t="shared" si="55"/>
        <v>131978</v>
      </c>
      <c r="Z149" s="47">
        <f t="shared" si="56"/>
        <v>34458</v>
      </c>
      <c r="AA149" s="47">
        <f t="shared" si="57"/>
        <v>43.511475409836066</v>
      </c>
      <c r="AB149" s="48">
        <f>AB148</f>
        <v>97520</v>
      </c>
    </row>
    <row r="150" spans="1:28" x14ac:dyDescent="0.3">
      <c r="A150" s="5">
        <v>150</v>
      </c>
      <c r="B150" s="36">
        <v>129</v>
      </c>
      <c r="C150" s="26" t="s">
        <v>274</v>
      </c>
      <c r="D150" s="26" t="s">
        <v>275</v>
      </c>
      <c r="E150" s="26" t="s">
        <v>361</v>
      </c>
      <c r="F150" s="26">
        <v>370</v>
      </c>
      <c r="G150" s="26" t="s">
        <v>278</v>
      </c>
      <c r="H150" s="26" t="s">
        <v>430</v>
      </c>
      <c r="I150" s="27">
        <v>45901</v>
      </c>
      <c r="J150" s="27">
        <f>EDATE(I150,K150)</f>
        <v>46569</v>
      </c>
      <c r="K150" s="26">
        <v>22</v>
      </c>
      <c r="L150" s="37">
        <f ca="1">IF(J150 &lt; TODAY(), -DATEDIF(J150, TODAY(), "M"), DATEDIF(TODAY(), J150, "M"))</f>
        <v>13</v>
      </c>
      <c r="N150" s="5">
        <v>160</v>
      </c>
      <c r="O150" s="20">
        <v>152</v>
      </c>
      <c r="P150" s="10" t="s">
        <v>163</v>
      </c>
      <c r="Q150" s="10" t="s">
        <v>168</v>
      </c>
      <c r="R150" s="10" t="s">
        <v>313</v>
      </c>
      <c r="S150" s="10">
        <v>284</v>
      </c>
      <c r="T150" s="10" t="s">
        <v>170</v>
      </c>
      <c r="U150" s="46" t="s">
        <v>446</v>
      </c>
      <c r="V150" s="11">
        <v>45056</v>
      </c>
      <c r="W150" s="10">
        <v>70978</v>
      </c>
      <c r="X150" s="10">
        <v>61000</v>
      </c>
      <c r="Y150" s="10">
        <f t="shared" si="55"/>
        <v>131978</v>
      </c>
      <c r="Z150" s="47">
        <f t="shared" si="56"/>
        <v>34458</v>
      </c>
      <c r="AA150" s="47">
        <f t="shared" si="57"/>
        <v>43.511475409836066</v>
      </c>
      <c r="AB150" s="48">
        <f>AB149</f>
        <v>97520</v>
      </c>
    </row>
    <row r="151" spans="1:28" customFormat="1" x14ac:dyDescent="0.3">
      <c r="A151" s="33">
        <v>151</v>
      </c>
      <c r="B151" s="38" t="s">
        <v>431</v>
      </c>
      <c r="C151" s="32" t="s">
        <v>431</v>
      </c>
      <c r="D151" s="32" t="s">
        <v>431</v>
      </c>
      <c r="E151" s="32" t="s">
        <v>431</v>
      </c>
      <c r="F151" s="32" t="s">
        <v>431</v>
      </c>
      <c r="G151" s="32" t="s">
        <v>431</v>
      </c>
      <c r="H151" s="31" t="s">
        <v>431</v>
      </c>
      <c r="I151" s="32" t="s">
        <v>431</v>
      </c>
      <c r="J151" s="32" t="s">
        <v>431</v>
      </c>
      <c r="K151" s="32" t="s">
        <v>431</v>
      </c>
      <c r="L151" s="39" t="s">
        <v>431</v>
      </c>
      <c r="N151">
        <v>161</v>
      </c>
      <c r="O151" s="20">
        <v>152</v>
      </c>
      <c r="P151" s="10" t="s">
        <v>163</v>
      </c>
      <c r="Q151" s="10" t="s">
        <v>168</v>
      </c>
      <c r="R151" s="10" t="s">
        <v>313</v>
      </c>
      <c r="S151" s="10">
        <v>284</v>
      </c>
      <c r="T151" s="10" t="s">
        <v>170</v>
      </c>
      <c r="U151" s="46" t="s">
        <v>446</v>
      </c>
      <c r="V151" s="11">
        <v>45689</v>
      </c>
      <c r="W151" s="10">
        <v>88647</v>
      </c>
      <c r="X151" s="10">
        <v>47000</v>
      </c>
      <c r="Y151" s="10">
        <f t="shared" si="55"/>
        <v>135647</v>
      </c>
      <c r="Z151" s="47">
        <f t="shared" si="56"/>
        <v>38127</v>
      </c>
      <c r="AA151" s="47">
        <f t="shared" si="57"/>
        <v>18.878723404255318</v>
      </c>
      <c r="AB151" s="48">
        <f>AB150</f>
        <v>97520</v>
      </c>
    </row>
    <row r="152" spans="1:28" x14ac:dyDescent="0.3">
      <c r="A152" s="5">
        <v>152</v>
      </c>
      <c r="B152" s="40">
        <v>130</v>
      </c>
      <c r="C152" s="28" t="s">
        <v>274</v>
      </c>
      <c r="D152" s="28" t="s">
        <v>275</v>
      </c>
      <c r="E152" s="28" t="s">
        <v>361</v>
      </c>
      <c r="F152" s="28">
        <v>377</v>
      </c>
      <c r="G152" s="28" t="s">
        <v>276</v>
      </c>
      <c r="H152" s="28" t="s">
        <v>430</v>
      </c>
      <c r="I152" s="29">
        <v>45597</v>
      </c>
      <c r="J152" s="29">
        <f>EDATE(I152,K152)</f>
        <v>46266</v>
      </c>
      <c r="K152" s="28">
        <v>22</v>
      </c>
      <c r="L152" s="41">
        <f ca="1">IF(J152 &lt; TODAY(), -DATEDIF(J152, TODAY(), "M"), DATEDIF(TODAY(), J152, "M"))</f>
        <v>3</v>
      </c>
      <c r="N152" s="5">
        <v>162</v>
      </c>
      <c r="O152" s="20">
        <v>152</v>
      </c>
      <c r="P152" s="10" t="s">
        <v>163</v>
      </c>
      <c r="Q152" s="10" t="s">
        <v>168</v>
      </c>
      <c r="R152" s="10" t="s">
        <v>313</v>
      </c>
      <c r="S152" s="10">
        <v>284</v>
      </c>
      <c r="T152" s="10" t="s">
        <v>170</v>
      </c>
      <c r="U152" s="46" t="s">
        <v>446</v>
      </c>
      <c r="V152" s="11">
        <v>45689</v>
      </c>
      <c r="W152" s="10">
        <v>88647</v>
      </c>
      <c r="X152" s="10">
        <v>47000</v>
      </c>
      <c r="Y152" s="10">
        <f t="shared" si="55"/>
        <v>135647</v>
      </c>
      <c r="Z152" s="47">
        <f t="shared" si="56"/>
        <v>38127</v>
      </c>
      <c r="AA152" s="47">
        <f t="shared" si="57"/>
        <v>18.878723404255318</v>
      </c>
      <c r="AB152" s="48">
        <f>AB151</f>
        <v>97520</v>
      </c>
    </row>
    <row r="153" spans="1:28" x14ac:dyDescent="0.3">
      <c r="A153" s="5">
        <v>153</v>
      </c>
      <c r="B153" s="34">
        <v>130</v>
      </c>
      <c r="C153" s="22" t="s">
        <v>274</v>
      </c>
      <c r="D153" s="22" t="s">
        <v>275</v>
      </c>
      <c r="E153" s="22" t="s">
        <v>361</v>
      </c>
      <c r="F153" s="22">
        <v>377</v>
      </c>
      <c r="G153" s="22" t="s">
        <v>276</v>
      </c>
      <c r="H153" s="22" t="s">
        <v>430</v>
      </c>
      <c r="I153" s="23">
        <v>45597</v>
      </c>
      <c r="J153" s="23">
        <f>EDATE(I153,K153)</f>
        <v>46266</v>
      </c>
      <c r="K153" s="22">
        <v>22</v>
      </c>
      <c r="L153" s="35">
        <f ca="1">IF(J153 &lt; TODAY(), -DATEDIF(J153, TODAY(), "M"), DATEDIF(TODAY(), J153, "M"))</f>
        <v>3</v>
      </c>
      <c r="N153">
        <v>163</v>
      </c>
      <c r="O153" s="20" t="s">
        <v>431</v>
      </c>
      <c r="P153" s="10" t="s">
        <v>431</v>
      </c>
      <c r="Q153" s="10" t="s">
        <v>431</v>
      </c>
      <c r="R153" s="10" t="s">
        <v>431</v>
      </c>
      <c r="S153" s="10" t="s">
        <v>431</v>
      </c>
      <c r="T153" s="10" t="s">
        <v>431</v>
      </c>
      <c r="U153" s="10" t="s">
        <v>431</v>
      </c>
      <c r="V153" s="11" t="s">
        <v>431</v>
      </c>
      <c r="W153" s="11" t="s">
        <v>431</v>
      </c>
      <c r="X153" s="10" t="s">
        <v>431</v>
      </c>
      <c r="Y153" s="10" t="s">
        <v>431</v>
      </c>
      <c r="Z153" s="47" t="s">
        <v>431</v>
      </c>
      <c r="AA153" s="47" t="s">
        <v>431</v>
      </c>
      <c r="AB153" s="48" t="s">
        <v>431</v>
      </c>
    </row>
    <row r="154" spans="1:28" x14ac:dyDescent="0.3">
      <c r="A154" s="33">
        <v>154</v>
      </c>
      <c r="B154" s="34">
        <v>130</v>
      </c>
      <c r="C154" s="22" t="s">
        <v>274</v>
      </c>
      <c r="D154" s="22" t="s">
        <v>275</v>
      </c>
      <c r="E154" s="22" t="s">
        <v>361</v>
      </c>
      <c r="F154" s="22">
        <v>377</v>
      </c>
      <c r="G154" s="22" t="s">
        <v>276</v>
      </c>
      <c r="H154" s="22" t="s">
        <v>430</v>
      </c>
      <c r="I154" s="23">
        <v>45838</v>
      </c>
      <c r="J154" s="23">
        <f>EDATE(I154,K154)</f>
        <v>46507</v>
      </c>
      <c r="K154" s="22">
        <v>22</v>
      </c>
      <c r="L154" s="35">
        <f ca="1">IF(J154 &lt; TODAY(), -DATEDIF(J154, TODAY(), "M"), DATEDIF(TODAY(), J154, "M"))</f>
        <v>11</v>
      </c>
      <c r="N154" s="5">
        <v>164</v>
      </c>
      <c r="O154" s="20">
        <v>153</v>
      </c>
      <c r="P154" s="10" t="s">
        <v>163</v>
      </c>
      <c r="Q154" s="10" t="s">
        <v>164</v>
      </c>
      <c r="R154" s="10" t="s">
        <v>313</v>
      </c>
      <c r="S154" s="10">
        <v>269</v>
      </c>
      <c r="T154" s="10" t="s">
        <v>167</v>
      </c>
      <c r="U154" s="46" t="s">
        <v>446</v>
      </c>
      <c r="V154" s="11">
        <v>43258</v>
      </c>
      <c r="W154" s="10">
        <v>70536</v>
      </c>
      <c r="X154" s="10">
        <v>60000</v>
      </c>
      <c r="Y154" s="10">
        <f t="shared" ref="Y154:Y159" si="58">W154+X154</f>
        <v>130536</v>
      </c>
      <c r="Z154" s="47">
        <f t="shared" ref="Z154:Z159" si="59">Y154-AB154</f>
        <v>125490</v>
      </c>
      <c r="AA154" s="47">
        <f t="shared" ref="AA154:AA159" si="60">(AB154-W154)/X154*100</f>
        <v>-109.14999999999999</v>
      </c>
      <c r="AB154" s="48">
        <v>5046</v>
      </c>
    </row>
    <row r="155" spans="1:28" x14ac:dyDescent="0.3">
      <c r="A155" s="5">
        <v>155</v>
      </c>
      <c r="B155" s="36">
        <v>130</v>
      </c>
      <c r="C155" s="26" t="s">
        <v>274</v>
      </c>
      <c r="D155" s="26" t="s">
        <v>275</v>
      </c>
      <c r="E155" s="26" t="s">
        <v>361</v>
      </c>
      <c r="F155" s="26">
        <v>377</v>
      </c>
      <c r="G155" s="26" t="s">
        <v>276</v>
      </c>
      <c r="H155" s="26" t="s">
        <v>430</v>
      </c>
      <c r="I155" s="27">
        <v>45838</v>
      </c>
      <c r="J155" s="27">
        <f>EDATE(I155,K155)</f>
        <v>46507</v>
      </c>
      <c r="K155" s="26">
        <v>22</v>
      </c>
      <c r="L155" s="37">
        <f ca="1">IF(J155 &lt; TODAY(), -DATEDIF(J155, TODAY(), "M"), DATEDIF(TODAY(), J155, "M"))</f>
        <v>11</v>
      </c>
      <c r="N155">
        <v>165</v>
      </c>
      <c r="O155" s="20">
        <v>153</v>
      </c>
      <c r="P155" s="10" t="s">
        <v>163</v>
      </c>
      <c r="Q155" s="10" t="s">
        <v>164</v>
      </c>
      <c r="R155" s="10" t="s">
        <v>313</v>
      </c>
      <c r="S155" s="10">
        <v>269</v>
      </c>
      <c r="T155" s="10" t="s">
        <v>167</v>
      </c>
      <c r="U155" s="46" t="s">
        <v>446</v>
      </c>
      <c r="V155" s="11">
        <v>43258</v>
      </c>
      <c r="W155" s="10">
        <v>70536</v>
      </c>
      <c r="X155" s="10">
        <v>60000</v>
      </c>
      <c r="Y155" s="10">
        <f t="shared" si="58"/>
        <v>130536</v>
      </c>
      <c r="Z155" s="47">
        <f t="shared" si="59"/>
        <v>125490</v>
      </c>
      <c r="AA155" s="47">
        <f t="shared" si="60"/>
        <v>-109.14999999999999</v>
      </c>
      <c r="AB155" s="48">
        <f>AB154</f>
        <v>5046</v>
      </c>
    </row>
    <row r="156" spans="1:28" customFormat="1" x14ac:dyDescent="0.3">
      <c r="A156" s="5">
        <v>156</v>
      </c>
      <c r="B156" s="38" t="s">
        <v>431</v>
      </c>
      <c r="C156" s="32" t="s">
        <v>431</v>
      </c>
      <c r="D156" s="32" t="s">
        <v>431</v>
      </c>
      <c r="E156" s="32" t="s">
        <v>431</v>
      </c>
      <c r="F156" s="32" t="s">
        <v>431</v>
      </c>
      <c r="G156" s="32" t="s">
        <v>431</v>
      </c>
      <c r="H156" s="31" t="s">
        <v>431</v>
      </c>
      <c r="I156" s="32" t="s">
        <v>431</v>
      </c>
      <c r="J156" s="32" t="s">
        <v>431</v>
      </c>
      <c r="K156" s="32" t="s">
        <v>431</v>
      </c>
      <c r="L156" s="39" t="s">
        <v>431</v>
      </c>
      <c r="N156">
        <v>166</v>
      </c>
      <c r="O156" s="20">
        <v>153</v>
      </c>
      <c r="P156" s="10" t="s">
        <v>163</v>
      </c>
      <c r="Q156" s="10" t="s">
        <v>164</v>
      </c>
      <c r="R156" s="10" t="s">
        <v>313</v>
      </c>
      <c r="S156" s="10">
        <v>269</v>
      </c>
      <c r="T156" s="10" t="s">
        <v>167</v>
      </c>
      <c r="U156" s="46" t="s">
        <v>446</v>
      </c>
      <c r="V156" s="11">
        <v>43943</v>
      </c>
      <c r="W156" s="10">
        <v>70536</v>
      </c>
      <c r="X156" s="10">
        <v>60000</v>
      </c>
      <c r="Y156" s="10">
        <f t="shared" si="58"/>
        <v>130536</v>
      </c>
      <c r="Z156" s="47">
        <f t="shared" si="59"/>
        <v>125490</v>
      </c>
      <c r="AA156" s="47">
        <f t="shared" si="60"/>
        <v>-109.14999999999999</v>
      </c>
      <c r="AB156" s="48">
        <f>AB155</f>
        <v>5046</v>
      </c>
    </row>
    <row r="157" spans="1:28" x14ac:dyDescent="0.3">
      <c r="A157" s="33">
        <v>157</v>
      </c>
      <c r="B157" s="40">
        <v>131</v>
      </c>
      <c r="C157" s="28" t="s">
        <v>274</v>
      </c>
      <c r="D157" s="28" t="s">
        <v>275</v>
      </c>
      <c r="E157" s="28" t="s">
        <v>361</v>
      </c>
      <c r="F157" s="28">
        <v>373</v>
      </c>
      <c r="G157" s="28" t="s">
        <v>283</v>
      </c>
      <c r="H157" s="28" t="s">
        <v>430</v>
      </c>
      <c r="I157" s="29">
        <v>45199</v>
      </c>
      <c r="J157" s="29">
        <f>EDATE(I157,K157)</f>
        <v>45868</v>
      </c>
      <c r="K157" s="28">
        <v>22</v>
      </c>
      <c r="L157" s="41">
        <f ca="1">IF(J157 &lt; TODAY(), -DATEDIF(J157, TODAY(), "M"), DATEDIF(TODAY(), J157, "M"))</f>
        <v>-9</v>
      </c>
      <c r="N157">
        <v>167</v>
      </c>
      <c r="O157" s="20">
        <v>153</v>
      </c>
      <c r="P157" s="10" t="s">
        <v>163</v>
      </c>
      <c r="Q157" s="10" t="s">
        <v>164</v>
      </c>
      <c r="R157" s="10" t="s">
        <v>313</v>
      </c>
      <c r="S157" s="10">
        <v>269</v>
      </c>
      <c r="T157" s="10" t="s">
        <v>167</v>
      </c>
      <c r="U157" s="46" t="s">
        <v>446</v>
      </c>
      <c r="V157" s="11">
        <v>43943</v>
      </c>
      <c r="W157" s="10">
        <v>70536</v>
      </c>
      <c r="X157" s="10">
        <v>60000</v>
      </c>
      <c r="Y157" s="10">
        <f t="shared" si="58"/>
        <v>130536</v>
      </c>
      <c r="Z157" s="47">
        <f t="shared" si="59"/>
        <v>125490</v>
      </c>
      <c r="AA157" s="47">
        <f t="shared" si="60"/>
        <v>-109.14999999999999</v>
      </c>
      <c r="AB157" s="48">
        <f>AB156</f>
        <v>5046</v>
      </c>
    </row>
    <row r="158" spans="1:28" x14ac:dyDescent="0.3">
      <c r="A158" s="5">
        <v>158</v>
      </c>
      <c r="B158" s="34">
        <v>131</v>
      </c>
      <c r="C158" s="22" t="s">
        <v>274</v>
      </c>
      <c r="D158" s="22" t="s">
        <v>275</v>
      </c>
      <c r="E158" s="22" t="s">
        <v>361</v>
      </c>
      <c r="F158" s="22">
        <v>373</v>
      </c>
      <c r="G158" s="22" t="s">
        <v>283</v>
      </c>
      <c r="H158" s="22" t="s">
        <v>430</v>
      </c>
      <c r="I158" s="23">
        <v>45199</v>
      </c>
      <c r="J158" s="23">
        <f>EDATE(I158,K158)</f>
        <v>45868</v>
      </c>
      <c r="K158" s="22">
        <v>22</v>
      </c>
      <c r="L158" s="35">
        <f ca="1">IF(J158 &lt; TODAY(), -DATEDIF(J158, TODAY(), "M"), DATEDIF(TODAY(), J158, "M"))</f>
        <v>-9</v>
      </c>
      <c r="N158" s="5">
        <v>168</v>
      </c>
      <c r="O158" s="20">
        <v>153</v>
      </c>
      <c r="P158" s="10" t="s">
        <v>163</v>
      </c>
      <c r="Q158" s="10" t="s">
        <v>164</v>
      </c>
      <c r="R158" s="10" t="s">
        <v>313</v>
      </c>
      <c r="S158" s="10">
        <v>269</v>
      </c>
      <c r="T158" s="10" t="s">
        <v>167</v>
      </c>
      <c r="U158" s="46" t="s">
        <v>446</v>
      </c>
      <c r="V158" s="11">
        <v>44853</v>
      </c>
      <c r="W158" s="10">
        <v>70536</v>
      </c>
      <c r="X158" s="10">
        <v>60000</v>
      </c>
      <c r="Y158" s="10">
        <f t="shared" si="58"/>
        <v>130536</v>
      </c>
      <c r="Z158" s="47">
        <f t="shared" si="59"/>
        <v>125490</v>
      </c>
      <c r="AA158" s="47">
        <f t="shared" si="60"/>
        <v>-109.14999999999999</v>
      </c>
      <c r="AB158" s="48">
        <f>AB157</f>
        <v>5046</v>
      </c>
    </row>
    <row r="159" spans="1:28" x14ac:dyDescent="0.3">
      <c r="A159" s="5">
        <v>159</v>
      </c>
      <c r="B159" s="34">
        <v>131</v>
      </c>
      <c r="C159" s="22" t="s">
        <v>274</v>
      </c>
      <c r="D159" s="22" t="s">
        <v>275</v>
      </c>
      <c r="E159" s="22" t="s">
        <v>361</v>
      </c>
      <c r="F159" s="22">
        <v>373</v>
      </c>
      <c r="G159" s="22" t="s">
        <v>283</v>
      </c>
      <c r="H159" s="22" t="s">
        <v>430</v>
      </c>
      <c r="I159" s="23">
        <v>45199</v>
      </c>
      <c r="J159" s="23">
        <f>EDATE(I159,K159)</f>
        <v>45868</v>
      </c>
      <c r="K159" s="22">
        <v>22</v>
      </c>
      <c r="L159" s="35">
        <f ca="1">IF(J159 &lt; TODAY(), -DATEDIF(J159, TODAY(), "M"), DATEDIF(TODAY(), J159, "M"))</f>
        <v>-9</v>
      </c>
      <c r="N159">
        <v>169</v>
      </c>
      <c r="O159" s="20">
        <v>153</v>
      </c>
      <c r="P159" s="10" t="s">
        <v>163</v>
      </c>
      <c r="Q159" s="10" t="s">
        <v>164</v>
      </c>
      <c r="R159" s="10" t="s">
        <v>313</v>
      </c>
      <c r="S159" s="10">
        <v>269</v>
      </c>
      <c r="T159" s="10" t="s">
        <v>167</v>
      </c>
      <c r="U159" s="46" t="s">
        <v>446</v>
      </c>
      <c r="V159" s="11">
        <v>44853</v>
      </c>
      <c r="W159" s="10">
        <v>70536</v>
      </c>
      <c r="X159" s="10">
        <v>60000</v>
      </c>
      <c r="Y159" s="10">
        <f t="shared" si="58"/>
        <v>130536</v>
      </c>
      <c r="Z159" s="47">
        <f t="shared" si="59"/>
        <v>125490</v>
      </c>
      <c r="AA159" s="47">
        <f t="shared" si="60"/>
        <v>-109.14999999999999</v>
      </c>
      <c r="AB159" s="48">
        <f>AB158</f>
        <v>5046</v>
      </c>
    </row>
    <row r="160" spans="1:28" ht="15" thickBot="1" x14ac:dyDescent="0.35">
      <c r="A160" s="33">
        <v>160</v>
      </c>
      <c r="B160" s="42">
        <v>131</v>
      </c>
      <c r="C160" s="43" t="s">
        <v>274</v>
      </c>
      <c r="D160" s="43" t="s">
        <v>275</v>
      </c>
      <c r="E160" s="43" t="s">
        <v>361</v>
      </c>
      <c r="F160" s="43">
        <v>373</v>
      </c>
      <c r="G160" s="43" t="s">
        <v>283</v>
      </c>
      <c r="H160" s="43" t="s">
        <v>430</v>
      </c>
      <c r="I160" s="44">
        <v>45199</v>
      </c>
      <c r="J160" s="44">
        <f>EDATE(I160,K160)</f>
        <v>45868</v>
      </c>
      <c r="K160" s="43">
        <v>22</v>
      </c>
      <c r="L160" s="45">
        <f ca="1">IF(J160 &lt; TODAY(), -DATEDIF(J160, TODAY(), "M"), DATEDIF(TODAY(), J160, "M"))</f>
        <v>-9</v>
      </c>
      <c r="N160" s="5">
        <v>170</v>
      </c>
      <c r="O160" s="20" t="s">
        <v>431</v>
      </c>
      <c r="P160" s="10" t="s">
        <v>431</v>
      </c>
      <c r="Q160" s="10" t="s">
        <v>431</v>
      </c>
      <c r="R160" s="10" t="s">
        <v>431</v>
      </c>
      <c r="S160" s="10" t="s">
        <v>431</v>
      </c>
      <c r="T160" s="10" t="s">
        <v>431</v>
      </c>
      <c r="U160" s="10" t="s">
        <v>431</v>
      </c>
      <c r="V160" s="11" t="s">
        <v>431</v>
      </c>
      <c r="W160" s="11" t="s">
        <v>431</v>
      </c>
      <c r="X160" s="10" t="s">
        <v>431</v>
      </c>
      <c r="Y160" s="10" t="s">
        <v>431</v>
      </c>
      <c r="Z160" s="47" t="s">
        <v>431</v>
      </c>
      <c r="AA160" s="47" t="s">
        <v>431</v>
      </c>
      <c r="AB160" s="48" t="s">
        <v>431</v>
      </c>
    </row>
    <row r="161" spans="1:28" customFormat="1" x14ac:dyDescent="0.3">
      <c r="C161" s="25"/>
      <c r="D161" s="25"/>
      <c r="E161" s="25"/>
      <c r="F161" s="25"/>
      <c r="G161" s="25"/>
      <c r="I161" s="25"/>
      <c r="J161" s="25"/>
      <c r="K161" s="25"/>
      <c r="L161" s="25"/>
      <c r="N161" s="5">
        <v>171</v>
      </c>
      <c r="O161" s="20">
        <v>155</v>
      </c>
      <c r="P161" s="10" t="s">
        <v>162</v>
      </c>
      <c r="Q161" s="10" t="s">
        <v>160</v>
      </c>
      <c r="R161" s="10" t="s">
        <v>311</v>
      </c>
      <c r="S161" s="10">
        <v>769</v>
      </c>
      <c r="T161" s="10" t="s">
        <v>161</v>
      </c>
      <c r="U161" s="46" t="s">
        <v>447</v>
      </c>
      <c r="V161" s="11">
        <v>44860</v>
      </c>
      <c r="W161" s="10">
        <v>79973</v>
      </c>
      <c r="X161" s="10">
        <v>70000</v>
      </c>
      <c r="Y161" s="10">
        <f t="shared" ref="Y161:Y166" si="61">W161+X161</f>
        <v>149973</v>
      </c>
      <c r="Z161" s="47">
        <f t="shared" ref="Z161:Z166" si="62">Y161-AB161</f>
        <v>36708</v>
      </c>
      <c r="AA161" s="47">
        <f t="shared" ref="AA161:AA166" si="63">(AB161-W161)/X161*100</f>
        <v>47.56</v>
      </c>
      <c r="AB161" s="48">
        <v>113265</v>
      </c>
    </row>
    <row r="162" spans="1:28" customFormat="1" x14ac:dyDescent="0.3">
      <c r="A162" s="5"/>
      <c r="I162" s="8"/>
      <c r="J162" s="8"/>
      <c r="M162" s="5"/>
      <c r="N162">
        <v>172</v>
      </c>
      <c r="O162" s="20">
        <v>155</v>
      </c>
      <c r="P162" s="10" t="s">
        <v>162</v>
      </c>
      <c r="Q162" s="10" t="s">
        <v>160</v>
      </c>
      <c r="R162" s="10" t="s">
        <v>311</v>
      </c>
      <c r="S162" s="10">
        <v>769</v>
      </c>
      <c r="T162" s="10" t="s">
        <v>161</v>
      </c>
      <c r="U162" s="46" t="s">
        <v>447</v>
      </c>
      <c r="V162" s="11">
        <v>44860</v>
      </c>
      <c r="W162" s="10">
        <v>79973</v>
      </c>
      <c r="X162" s="10">
        <v>70000</v>
      </c>
      <c r="Y162" s="10">
        <f t="shared" si="61"/>
        <v>149973</v>
      </c>
      <c r="Z162" s="47">
        <f t="shared" si="62"/>
        <v>36708</v>
      </c>
      <c r="AA162" s="47">
        <f t="shared" si="63"/>
        <v>47.56</v>
      </c>
      <c r="AB162" s="48">
        <f>AB161</f>
        <v>113265</v>
      </c>
    </row>
    <row r="163" spans="1:28" x14ac:dyDescent="0.3">
      <c r="N163" s="5">
        <v>173</v>
      </c>
      <c r="O163" s="20">
        <v>155</v>
      </c>
      <c r="P163" s="10" t="s">
        <v>162</v>
      </c>
      <c r="Q163" s="10" t="s">
        <v>160</v>
      </c>
      <c r="R163" s="10" t="s">
        <v>311</v>
      </c>
      <c r="S163" s="10">
        <v>769</v>
      </c>
      <c r="T163" s="10" t="s">
        <v>161</v>
      </c>
      <c r="U163" s="46" t="s">
        <v>447</v>
      </c>
      <c r="V163" s="11">
        <v>44860</v>
      </c>
      <c r="W163" s="10">
        <v>79973</v>
      </c>
      <c r="X163" s="10">
        <v>70000</v>
      </c>
      <c r="Y163" s="10">
        <f t="shared" si="61"/>
        <v>149973</v>
      </c>
      <c r="Z163" s="47">
        <f t="shared" si="62"/>
        <v>36708</v>
      </c>
      <c r="AA163" s="47">
        <f t="shared" si="63"/>
        <v>47.56</v>
      </c>
      <c r="AB163" s="48">
        <f>AB162</f>
        <v>113265</v>
      </c>
    </row>
    <row r="164" spans="1:28" x14ac:dyDescent="0.3">
      <c r="N164" s="5">
        <v>174</v>
      </c>
      <c r="O164" s="20">
        <v>155</v>
      </c>
      <c r="P164" s="10" t="s">
        <v>162</v>
      </c>
      <c r="Q164" s="10" t="s">
        <v>160</v>
      </c>
      <c r="R164" s="10" t="s">
        <v>311</v>
      </c>
      <c r="S164" s="10">
        <v>769</v>
      </c>
      <c r="T164" s="10" t="s">
        <v>161</v>
      </c>
      <c r="U164" s="46" t="s">
        <v>447</v>
      </c>
      <c r="V164" s="11">
        <v>44860</v>
      </c>
      <c r="W164" s="10">
        <v>79973</v>
      </c>
      <c r="X164" s="10">
        <v>70000</v>
      </c>
      <c r="Y164" s="10">
        <f t="shared" si="61"/>
        <v>149973</v>
      </c>
      <c r="Z164" s="47">
        <f t="shared" si="62"/>
        <v>36708</v>
      </c>
      <c r="AA164" s="47">
        <f t="shared" si="63"/>
        <v>47.56</v>
      </c>
      <c r="AB164" s="48">
        <f>AB163</f>
        <v>113265</v>
      </c>
    </row>
    <row r="165" spans="1:28" x14ac:dyDescent="0.3">
      <c r="N165">
        <v>175</v>
      </c>
      <c r="O165" s="20">
        <v>155</v>
      </c>
      <c r="P165" s="10" t="s">
        <v>162</v>
      </c>
      <c r="Q165" s="10" t="s">
        <v>160</v>
      </c>
      <c r="R165" s="10" t="s">
        <v>311</v>
      </c>
      <c r="S165" s="10">
        <v>769</v>
      </c>
      <c r="T165" s="10" t="s">
        <v>161</v>
      </c>
      <c r="U165" s="46" t="s">
        <v>447</v>
      </c>
      <c r="V165" s="11">
        <v>45901</v>
      </c>
      <c r="W165" s="10">
        <v>108036</v>
      </c>
      <c r="X165" s="10">
        <v>70000</v>
      </c>
      <c r="Y165" s="10">
        <f t="shared" si="61"/>
        <v>178036</v>
      </c>
      <c r="Z165" s="47">
        <f t="shared" si="62"/>
        <v>64771</v>
      </c>
      <c r="AA165" s="47">
        <f t="shared" si="63"/>
        <v>7.4700000000000006</v>
      </c>
      <c r="AB165" s="48">
        <f>AB164</f>
        <v>113265</v>
      </c>
    </row>
    <row r="166" spans="1:28" x14ac:dyDescent="0.3">
      <c r="N166" s="5">
        <v>176</v>
      </c>
      <c r="O166" s="20">
        <v>155</v>
      </c>
      <c r="P166" s="10" t="s">
        <v>162</v>
      </c>
      <c r="Q166" s="10" t="s">
        <v>160</v>
      </c>
      <c r="R166" s="10" t="s">
        <v>311</v>
      </c>
      <c r="S166" s="10">
        <v>769</v>
      </c>
      <c r="T166" s="10" t="s">
        <v>161</v>
      </c>
      <c r="U166" s="46" t="s">
        <v>447</v>
      </c>
      <c r="V166" s="11">
        <v>45901</v>
      </c>
      <c r="W166" s="10">
        <v>108036</v>
      </c>
      <c r="X166" s="10">
        <v>70000</v>
      </c>
      <c r="Y166" s="10">
        <f t="shared" si="61"/>
        <v>178036</v>
      </c>
      <c r="Z166" s="47">
        <f t="shared" si="62"/>
        <v>64771</v>
      </c>
      <c r="AA166" s="47">
        <f t="shared" si="63"/>
        <v>7.4700000000000006</v>
      </c>
      <c r="AB166" s="48">
        <f>AB165</f>
        <v>113265</v>
      </c>
    </row>
    <row r="167" spans="1:28" x14ac:dyDescent="0.3">
      <c r="N167" s="5">
        <v>177</v>
      </c>
      <c r="O167" s="20" t="s">
        <v>431</v>
      </c>
      <c r="P167" s="10" t="s">
        <v>431</v>
      </c>
      <c r="Q167" s="10" t="s">
        <v>431</v>
      </c>
      <c r="R167" s="10" t="s">
        <v>431</v>
      </c>
      <c r="S167" s="10" t="s">
        <v>431</v>
      </c>
      <c r="T167" s="10" t="s">
        <v>431</v>
      </c>
      <c r="U167" s="10" t="s">
        <v>431</v>
      </c>
      <c r="V167" s="11" t="s">
        <v>431</v>
      </c>
      <c r="W167" s="11" t="s">
        <v>431</v>
      </c>
      <c r="X167" s="10" t="s">
        <v>431</v>
      </c>
      <c r="Y167" s="10" t="s">
        <v>431</v>
      </c>
      <c r="Z167" s="47" t="s">
        <v>431</v>
      </c>
      <c r="AA167" s="47" t="s">
        <v>431</v>
      </c>
      <c r="AB167" s="48" t="s">
        <v>431</v>
      </c>
    </row>
    <row r="168" spans="1:28" x14ac:dyDescent="0.3">
      <c r="N168">
        <v>178</v>
      </c>
      <c r="O168" s="20">
        <v>156</v>
      </c>
      <c r="P168" s="10" t="s">
        <v>180</v>
      </c>
      <c r="Q168" s="10" t="s">
        <v>181</v>
      </c>
      <c r="R168" s="10" t="s">
        <v>313</v>
      </c>
      <c r="S168" s="10">
        <v>641</v>
      </c>
      <c r="T168" s="10" t="s">
        <v>182</v>
      </c>
      <c r="U168" s="46" t="s">
        <v>448</v>
      </c>
      <c r="V168" s="11">
        <v>42016</v>
      </c>
      <c r="W168" s="10">
        <v>0</v>
      </c>
      <c r="X168" s="10">
        <v>40000</v>
      </c>
      <c r="Y168" s="10">
        <f t="shared" ref="Y168:Y173" si="64">W168+X168</f>
        <v>40000</v>
      </c>
      <c r="Z168" s="47">
        <f t="shared" ref="Z168:Z173" si="65">Y168-AB168</f>
        <v>40000</v>
      </c>
      <c r="AA168" s="47">
        <f t="shared" ref="AA168:AA173" si="66">(AB168-W168)/X168*100</f>
        <v>0</v>
      </c>
      <c r="AB168" s="48">
        <v>0</v>
      </c>
    </row>
    <row r="169" spans="1:28" x14ac:dyDescent="0.3">
      <c r="N169" s="5">
        <v>179</v>
      </c>
      <c r="O169" s="20">
        <v>156</v>
      </c>
      <c r="P169" s="10" t="s">
        <v>180</v>
      </c>
      <c r="Q169" s="10" t="s">
        <v>181</v>
      </c>
      <c r="R169" s="10" t="s">
        <v>313</v>
      </c>
      <c r="S169" s="10">
        <v>641</v>
      </c>
      <c r="T169" s="10" t="s">
        <v>182</v>
      </c>
      <c r="U169" s="46" t="s">
        <v>448</v>
      </c>
      <c r="V169" s="11">
        <v>42016</v>
      </c>
      <c r="W169" s="10">
        <v>0</v>
      </c>
      <c r="X169" s="10">
        <v>40000</v>
      </c>
      <c r="Y169" s="10">
        <f t="shared" si="64"/>
        <v>40000</v>
      </c>
      <c r="Z169" s="47">
        <f t="shared" si="65"/>
        <v>40000</v>
      </c>
      <c r="AA169" s="47">
        <f t="shared" si="66"/>
        <v>0</v>
      </c>
      <c r="AB169" s="48">
        <f>AB168</f>
        <v>0</v>
      </c>
    </row>
    <row r="170" spans="1:28" x14ac:dyDescent="0.3">
      <c r="N170" s="5">
        <v>180</v>
      </c>
      <c r="O170" s="20">
        <v>156</v>
      </c>
      <c r="P170" s="10" t="s">
        <v>180</v>
      </c>
      <c r="Q170" s="10" t="s">
        <v>181</v>
      </c>
      <c r="R170" s="10" t="s">
        <v>313</v>
      </c>
      <c r="S170" s="10">
        <v>641</v>
      </c>
      <c r="T170" s="10" t="s">
        <v>182</v>
      </c>
      <c r="U170" s="46" t="s">
        <v>448</v>
      </c>
      <c r="V170" s="11">
        <v>43955</v>
      </c>
      <c r="W170" s="10">
        <v>0</v>
      </c>
      <c r="X170" s="10">
        <v>40000</v>
      </c>
      <c r="Y170" s="10">
        <f t="shared" si="64"/>
        <v>40000</v>
      </c>
      <c r="Z170" s="47">
        <f t="shared" si="65"/>
        <v>40000</v>
      </c>
      <c r="AA170" s="47">
        <f t="shared" si="66"/>
        <v>0</v>
      </c>
      <c r="AB170" s="48">
        <f>AB169</f>
        <v>0</v>
      </c>
    </row>
    <row r="171" spans="1:28" x14ac:dyDescent="0.3">
      <c r="N171">
        <v>181</v>
      </c>
      <c r="O171" s="20">
        <v>156</v>
      </c>
      <c r="P171" s="10" t="s">
        <v>180</v>
      </c>
      <c r="Q171" s="10" t="s">
        <v>181</v>
      </c>
      <c r="R171" s="10" t="s">
        <v>313</v>
      </c>
      <c r="S171" s="10">
        <v>641</v>
      </c>
      <c r="T171" s="10" t="s">
        <v>182</v>
      </c>
      <c r="U171" s="46" t="s">
        <v>448</v>
      </c>
      <c r="V171" s="11">
        <v>43955</v>
      </c>
      <c r="W171" s="10">
        <v>0</v>
      </c>
      <c r="X171" s="10">
        <v>40000</v>
      </c>
      <c r="Y171" s="10">
        <f t="shared" si="64"/>
        <v>40000</v>
      </c>
      <c r="Z171" s="47">
        <f t="shared" si="65"/>
        <v>40000</v>
      </c>
      <c r="AA171" s="47">
        <f t="shared" si="66"/>
        <v>0</v>
      </c>
      <c r="AB171" s="48">
        <f>AB170</f>
        <v>0</v>
      </c>
    </row>
    <row r="172" spans="1:28" x14ac:dyDescent="0.3">
      <c r="N172" s="5">
        <v>182</v>
      </c>
      <c r="O172" s="20">
        <v>156</v>
      </c>
      <c r="P172" s="10" t="s">
        <v>180</v>
      </c>
      <c r="Q172" s="10" t="s">
        <v>181</v>
      </c>
      <c r="R172" s="10" t="s">
        <v>313</v>
      </c>
      <c r="S172" s="10">
        <v>641</v>
      </c>
      <c r="T172" s="10" t="s">
        <v>182</v>
      </c>
      <c r="U172" s="46" t="s">
        <v>448</v>
      </c>
      <c r="V172" s="11">
        <v>43955</v>
      </c>
      <c r="W172" s="10">
        <v>0</v>
      </c>
      <c r="X172" s="10">
        <v>40000</v>
      </c>
      <c r="Y172" s="10">
        <f t="shared" si="64"/>
        <v>40000</v>
      </c>
      <c r="Z172" s="47">
        <f t="shared" si="65"/>
        <v>40000</v>
      </c>
      <c r="AA172" s="47">
        <f t="shared" si="66"/>
        <v>0</v>
      </c>
      <c r="AB172" s="48">
        <f>AB171</f>
        <v>0</v>
      </c>
    </row>
    <row r="173" spans="1:28" x14ac:dyDescent="0.3">
      <c r="N173" s="5">
        <v>183</v>
      </c>
      <c r="O173" s="20">
        <v>156</v>
      </c>
      <c r="P173" s="10" t="s">
        <v>180</v>
      </c>
      <c r="Q173" s="10" t="s">
        <v>181</v>
      </c>
      <c r="R173" s="10" t="s">
        <v>313</v>
      </c>
      <c r="S173" s="10">
        <v>641</v>
      </c>
      <c r="T173" s="10" t="s">
        <v>182</v>
      </c>
      <c r="U173" s="46" t="s">
        <v>448</v>
      </c>
      <c r="V173" s="11">
        <v>43955</v>
      </c>
      <c r="W173" s="10">
        <v>0</v>
      </c>
      <c r="X173" s="10">
        <v>40000</v>
      </c>
      <c r="Y173" s="10">
        <f t="shared" si="64"/>
        <v>40000</v>
      </c>
      <c r="Z173" s="47">
        <f t="shared" si="65"/>
        <v>40000</v>
      </c>
      <c r="AA173" s="47">
        <f t="shared" si="66"/>
        <v>0</v>
      </c>
      <c r="AB173" s="48">
        <f>AB172</f>
        <v>0</v>
      </c>
    </row>
    <row r="174" spans="1:28" x14ac:dyDescent="0.3">
      <c r="N174">
        <v>184</v>
      </c>
      <c r="O174" s="20" t="s">
        <v>431</v>
      </c>
      <c r="P174" s="10" t="s">
        <v>431</v>
      </c>
      <c r="Q174" s="10" t="s">
        <v>431</v>
      </c>
      <c r="R174" s="10" t="s">
        <v>431</v>
      </c>
      <c r="S174" s="10" t="s">
        <v>431</v>
      </c>
      <c r="T174" s="10" t="s">
        <v>431</v>
      </c>
      <c r="U174" s="10" t="s">
        <v>431</v>
      </c>
      <c r="V174" s="11" t="s">
        <v>431</v>
      </c>
      <c r="W174" s="11" t="s">
        <v>431</v>
      </c>
      <c r="X174" s="10" t="s">
        <v>431</v>
      </c>
      <c r="Y174" s="47" t="s">
        <v>431</v>
      </c>
      <c r="Z174" s="47" t="s">
        <v>431</v>
      </c>
      <c r="AA174" s="47" t="s">
        <v>431</v>
      </c>
      <c r="AB174" s="48" t="s">
        <v>431</v>
      </c>
    </row>
    <row r="175" spans="1:28" x14ac:dyDescent="0.3">
      <c r="N175" s="5">
        <v>185</v>
      </c>
      <c r="O175" s="20">
        <v>157</v>
      </c>
      <c r="P175" s="10" t="s">
        <v>176</v>
      </c>
      <c r="Q175" s="10" t="s">
        <v>177</v>
      </c>
      <c r="R175" s="10" t="s">
        <v>318</v>
      </c>
      <c r="S175" s="10">
        <v>906</v>
      </c>
      <c r="T175" s="10" t="s">
        <v>178</v>
      </c>
      <c r="U175" s="46" t="s">
        <v>439</v>
      </c>
      <c r="V175" s="11">
        <v>45231</v>
      </c>
      <c r="W175" s="10">
        <v>92768</v>
      </c>
      <c r="X175" s="10">
        <v>30000</v>
      </c>
      <c r="Y175" s="10">
        <f t="shared" ref="Y175:Y180" si="67">W175+X175</f>
        <v>122768</v>
      </c>
      <c r="Z175" s="47">
        <f t="shared" ref="Z175:Z180" si="68">Y175-AB175</f>
        <v>121835</v>
      </c>
      <c r="AA175" s="47">
        <f t="shared" ref="AA175:AA180" si="69">(AB175-W175)/X175*100</f>
        <v>-306.11666666666667</v>
      </c>
      <c r="AB175" s="48">
        <v>933</v>
      </c>
    </row>
    <row r="176" spans="1:28" x14ac:dyDescent="0.3">
      <c r="N176" s="5">
        <v>186</v>
      </c>
      <c r="O176" s="20">
        <v>157</v>
      </c>
      <c r="P176" s="10" t="s">
        <v>176</v>
      </c>
      <c r="Q176" s="10" t="s">
        <v>177</v>
      </c>
      <c r="R176" s="10" t="s">
        <v>318</v>
      </c>
      <c r="S176" s="10">
        <v>906</v>
      </c>
      <c r="T176" s="10" t="s">
        <v>178</v>
      </c>
      <c r="U176" s="46" t="s">
        <v>439</v>
      </c>
      <c r="V176" s="11">
        <v>45505</v>
      </c>
      <c r="W176" s="10">
        <v>95682</v>
      </c>
      <c r="X176" s="10">
        <v>30000</v>
      </c>
      <c r="Y176" s="10">
        <f t="shared" si="67"/>
        <v>125682</v>
      </c>
      <c r="Z176" s="47">
        <f t="shared" si="68"/>
        <v>124749</v>
      </c>
      <c r="AA176" s="47">
        <f t="shared" si="69"/>
        <v>-315.83</v>
      </c>
      <c r="AB176" s="48">
        <f>AB175</f>
        <v>933</v>
      </c>
    </row>
    <row r="177" spans="14:28" x14ac:dyDescent="0.3">
      <c r="N177">
        <v>187</v>
      </c>
      <c r="O177" s="20">
        <v>157</v>
      </c>
      <c r="P177" s="10" t="s">
        <v>176</v>
      </c>
      <c r="Q177" s="10" t="s">
        <v>177</v>
      </c>
      <c r="R177" s="10" t="s">
        <v>318</v>
      </c>
      <c r="S177" s="10">
        <v>906</v>
      </c>
      <c r="T177" s="10" t="s">
        <v>178</v>
      </c>
      <c r="U177" s="46" t="s">
        <v>439</v>
      </c>
      <c r="V177" s="11">
        <v>45505</v>
      </c>
      <c r="W177" s="10">
        <v>95682</v>
      </c>
      <c r="X177" s="10">
        <v>30000</v>
      </c>
      <c r="Y177" s="10">
        <f t="shared" si="67"/>
        <v>125682</v>
      </c>
      <c r="Z177" s="47">
        <f t="shared" si="68"/>
        <v>124749</v>
      </c>
      <c r="AA177" s="47">
        <f t="shared" si="69"/>
        <v>-315.83</v>
      </c>
      <c r="AB177" s="48">
        <f>AB176</f>
        <v>933</v>
      </c>
    </row>
    <row r="178" spans="14:28" x14ac:dyDescent="0.3">
      <c r="N178" s="5">
        <v>188</v>
      </c>
      <c r="O178" s="20">
        <v>157</v>
      </c>
      <c r="P178" s="10" t="s">
        <v>176</v>
      </c>
      <c r="Q178" s="10" t="s">
        <v>177</v>
      </c>
      <c r="R178" s="10" t="s">
        <v>318</v>
      </c>
      <c r="S178" s="10">
        <v>906</v>
      </c>
      <c r="T178" s="10" t="s">
        <v>178</v>
      </c>
      <c r="U178" s="46" t="s">
        <v>439</v>
      </c>
      <c r="V178" s="11">
        <v>45536</v>
      </c>
      <c r="W178" s="10">
        <v>96249</v>
      </c>
      <c r="X178" s="10">
        <v>30000</v>
      </c>
      <c r="Y178" s="10">
        <f t="shared" si="67"/>
        <v>126249</v>
      </c>
      <c r="Z178" s="47">
        <f t="shared" si="68"/>
        <v>125316</v>
      </c>
      <c r="AA178" s="47">
        <f t="shared" si="69"/>
        <v>-317.72000000000003</v>
      </c>
      <c r="AB178" s="48">
        <f>AB177</f>
        <v>933</v>
      </c>
    </row>
    <row r="179" spans="14:28" x14ac:dyDescent="0.3">
      <c r="N179" s="5">
        <v>189</v>
      </c>
      <c r="O179" s="20">
        <v>157</v>
      </c>
      <c r="P179" s="10" t="s">
        <v>176</v>
      </c>
      <c r="Q179" s="10" t="s">
        <v>177</v>
      </c>
      <c r="R179" s="10" t="s">
        <v>318</v>
      </c>
      <c r="S179" s="10">
        <v>906</v>
      </c>
      <c r="T179" s="10" t="s">
        <v>178</v>
      </c>
      <c r="U179" s="46" t="s">
        <v>439</v>
      </c>
      <c r="V179" s="11">
        <v>45931</v>
      </c>
      <c r="W179" s="10">
        <v>99902</v>
      </c>
      <c r="X179" s="10">
        <v>30000</v>
      </c>
      <c r="Y179" s="10">
        <f t="shared" si="67"/>
        <v>129902</v>
      </c>
      <c r="Z179" s="47">
        <f t="shared" si="68"/>
        <v>128969</v>
      </c>
      <c r="AA179" s="47">
        <f t="shared" si="69"/>
        <v>-329.8966666666667</v>
      </c>
      <c r="AB179" s="48">
        <f>AB178</f>
        <v>933</v>
      </c>
    </row>
    <row r="180" spans="14:28" ht="15" thickBot="1" x14ac:dyDescent="0.35">
      <c r="N180">
        <v>190</v>
      </c>
      <c r="O180" s="13">
        <v>157</v>
      </c>
      <c r="P180" s="14" t="s">
        <v>176</v>
      </c>
      <c r="Q180" s="14" t="s">
        <v>177</v>
      </c>
      <c r="R180" s="14" t="s">
        <v>318</v>
      </c>
      <c r="S180" s="14">
        <v>906</v>
      </c>
      <c r="T180" s="14" t="s">
        <v>178</v>
      </c>
      <c r="U180" s="49" t="s">
        <v>439</v>
      </c>
      <c r="V180" s="15">
        <v>45931</v>
      </c>
      <c r="W180" s="14">
        <v>99902</v>
      </c>
      <c r="X180" s="14">
        <v>30000</v>
      </c>
      <c r="Y180" s="14">
        <f t="shared" si="67"/>
        <v>129902</v>
      </c>
      <c r="Z180" s="50">
        <f t="shared" si="68"/>
        <v>128969</v>
      </c>
      <c r="AA180" s="50">
        <f t="shared" si="69"/>
        <v>-329.8966666666667</v>
      </c>
      <c r="AB180" s="51">
        <f>AB179</f>
        <v>933</v>
      </c>
    </row>
    <row r="280" spans="18:18" x14ac:dyDescent="0.3">
      <c r="R280" s="5" t="s">
        <v>449</v>
      </c>
    </row>
  </sheetData>
  <sortState xmlns:xlrd2="http://schemas.microsoft.com/office/spreadsheetml/2017/richdata2" ref="N2:AB180">
    <sortCondition ref="N1:N180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4401FA6-636E-4A3D-A13E-A2960E55B5F4}">
            <xm:f>J2-Parametri!$E$1&lt;=0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28D244FC-6514-4CC4-ACC8-33F22B69A9BD}">
            <xm:f>J2-Parametri!$E$1&lt;=30</xm:f>
            <x14:dxf>
              <fill>
                <patternFill>
                  <bgColor rgb="FFFFC000"/>
                </patternFill>
              </fill>
            </x14:dxf>
          </x14:cfRule>
          <x14:cfRule type="expression" priority="3" id="{9436905B-F441-46E2-9B05-37FF44FDB5E6}">
            <xm:f>J2-Parametri!$E$1&gt;30</xm:f>
            <x14:dxf>
              <fill>
                <patternFill>
                  <bgColor rgb="FF00B050"/>
                </patternFill>
              </fill>
            </x14:dxf>
          </x14:cfRule>
          <xm:sqref>I2:I160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8" width="18" customWidth="1"/>
  </cols>
  <sheetData>
    <row r="1" spans="1:11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11</v>
      </c>
    </row>
    <row r="2" spans="1:11" x14ac:dyDescent="0.3">
      <c r="A2">
        <v>1</v>
      </c>
      <c r="B2" t="s">
        <v>12</v>
      </c>
      <c r="C2" s="1">
        <v>45717</v>
      </c>
      <c r="D2" t="s">
        <v>26</v>
      </c>
      <c r="E2" t="s">
        <v>27</v>
      </c>
      <c r="F2">
        <v>170000</v>
      </c>
      <c r="G2">
        <v>850</v>
      </c>
      <c r="H2">
        <v>250</v>
      </c>
      <c r="I2">
        <f>G2+H2</f>
        <v>1100</v>
      </c>
      <c r="J2" t="s">
        <v>28</v>
      </c>
    </row>
    <row r="3" spans="1:11" x14ac:dyDescent="0.3">
      <c r="A3">
        <v>2</v>
      </c>
    </row>
    <row r="4" spans="1:11" x14ac:dyDescent="0.3">
      <c r="A4">
        <v>3</v>
      </c>
    </row>
    <row r="5" spans="1:11" x14ac:dyDescent="0.3">
      <c r="A5">
        <v>4</v>
      </c>
    </row>
    <row r="6" spans="1:11" x14ac:dyDescent="0.3">
      <c r="A6">
        <v>5</v>
      </c>
    </row>
    <row r="7" spans="1:11" x14ac:dyDescent="0.3">
      <c r="A7">
        <v>6</v>
      </c>
    </row>
    <row r="8" spans="1:11" x14ac:dyDescent="0.3">
      <c r="A8">
        <v>7</v>
      </c>
    </row>
    <row r="9" spans="1:11" x14ac:dyDescent="0.3">
      <c r="A9">
        <v>8</v>
      </c>
    </row>
    <row r="10" spans="1:11" x14ac:dyDescent="0.3">
      <c r="A10">
        <v>9</v>
      </c>
    </row>
    <row r="11" spans="1:11" x14ac:dyDescent="0.3">
      <c r="A11">
        <v>10</v>
      </c>
    </row>
    <row r="12" spans="1:11" x14ac:dyDescent="0.3">
      <c r="A12">
        <v>11</v>
      </c>
    </row>
    <row r="13" spans="1:11" x14ac:dyDescent="0.3">
      <c r="A13">
        <v>12</v>
      </c>
    </row>
    <row r="14" spans="1:11" x14ac:dyDescent="0.3">
      <c r="A14">
        <v>13</v>
      </c>
    </row>
    <row r="15" spans="1:11" x14ac:dyDescent="0.3">
      <c r="A15">
        <v>14</v>
      </c>
    </row>
    <row r="16" spans="1:11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101</v>
      </c>
    </row>
    <row r="103" spans="1:1" x14ac:dyDescent="0.3">
      <c r="A103">
        <v>102</v>
      </c>
    </row>
    <row r="104" spans="1:1" x14ac:dyDescent="0.3">
      <c r="A104">
        <v>103</v>
      </c>
    </row>
    <row r="105" spans="1:1" x14ac:dyDescent="0.3">
      <c r="A105">
        <v>104</v>
      </c>
    </row>
    <row r="106" spans="1:1" x14ac:dyDescent="0.3">
      <c r="A106">
        <v>105</v>
      </c>
    </row>
    <row r="107" spans="1:1" x14ac:dyDescent="0.3">
      <c r="A107">
        <v>106</v>
      </c>
    </row>
    <row r="108" spans="1:1" x14ac:dyDescent="0.3">
      <c r="A108">
        <v>107</v>
      </c>
    </row>
    <row r="109" spans="1:1" x14ac:dyDescent="0.3">
      <c r="A109">
        <v>108</v>
      </c>
    </row>
    <row r="110" spans="1:1" x14ac:dyDescent="0.3">
      <c r="A110">
        <v>109</v>
      </c>
    </row>
    <row r="111" spans="1:1" x14ac:dyDescent="0.3">
      <c r="A111">
        <v>110</v>
      </c>
    </row>
    <row r="112" spans="1:1" x14ac:dyDescent="0.3">
      <c r="A112">
        <v>111</v>
      </c>
    </row>
    <row r="113" spans="1:1" x14ac:dyDescent="0.3">
      <c r="A113">
        <v>112</v>
      </c>
    </row>
    <row r="114" spans="1:1" x14ac:dyDescent="0.3">
      <c r="A114">
        <v>113</v>
      </c>
    </row>
    <row r="115" spans="1:1" x14ac:dyDescent="0.3">
      <c r="A115">
        <v>114</v>
      </c>
    </row>
    <row r="116" spans="1:1" x14ac:dyDescent="0.3">
      <c r="A116">
        <v>115</v>
      </c>
    </row>
    <row r="117" spans="1:1" x14ac:dyDescent="0.3">
      <c r="A117">
        <v>116</v>
      </c>
    </row>
    <row r="118" spans="1:1" x14ac:dyDescent="0.3">
      <c r="A118">
        <v>117</v>
      </c>
    </row>
    <row r="119" spans="1:1" x14ac:dyDescent="0.3">
      <c r="A119">
        <v>118</v>
      </c>
    </row>
    <row r="120" spans="1:1" x14ac:dyDescent="0.3">
      <c r="A120">
        <v>119</v>
      </c>
    </row>
    <row r="121" spans="1:1" x14ac:dyDescent="0.3">
      <c r="A121">
        <v>120</v>
      </c>
    </row>
    <row r="122" spans="1:1" x14ac:dyDescent="0.3">
      <c r="A122">
        <v>121</v>
      </c>
    </row>
    <row r="123" spans="1:1" x14ac:dyDescent="0.3">
      <c r="A123">
        <v>122</v>
      </c>
    </row>
    <row r="124" spans="1:1" x14ac:dyDescent="0.3">
      <c r="A124">
        <v>123</v>
      </c>
    </row>
    <row r="125" spans="1:1" x14ac:dyDescent="0.3">
      <c r="A125">
        <v>124</v>
      </c>
    </row>
    <row r="126" spans="1:1" x14ac:dyDescent="0.3">
      <c r="A126">
        <v>125</v>
      </c>
    </row>
    <row r="127" spans="1:1" x14ac:dyDescent="0.3">
      <c r="A127">
        <v>126</v>
      </c>
    </row>
    <row r="128" spans="1:1" x14ac:dyDescent="0.3">
      <c r="A128">
        <v>127</v>
      </c>
    </row>
    <row r="129" spans="1:1" x14ac:dyDescent="0.3">
      <c r="A129">
        <v>128</v>
      </c>
    </row>
    <row r="130" spans="1:1" x14ac:dyDescent="0.3">
      <c r="A130">
        <v>129</v>
      </c>
    </row>
    <row r="131" spans="1:1" x14ac:dyDescent="0.3">
      <c r="A131">
        <v>130</v>
      </c>
    </row>
    <row r="132" spans="1:1" x14ac:dyDescent="0.3">
      <c r="A132">
        <v>131</v>
      </c>
    </row>
    <row r="133" spans="1:1" x14ac:dyDescent="0.3">
      <c r="A133">
        <v>132</v>
      </c>
    </row>
    <row r="134" spans="1:1" x14ac:dyDescent="0.3">
      <c r="A134">
        <v>133</v>
      </c>
    </row>
    <row r="135" spans="1:1" x14ac:dyDescent="0.3">
      <c r="A135">
        <v>134</v>
      </c>
    </row>
    <row r="136" spans="1:1" x14ac:dyDescent="0.3">
      <c r="A136">
        <v>135</v>
      </c>
    </row>
    <row r="137" spans="1:1" x14ac:dyDescent="0.3">
      <c r="A137">
        <v>136</v>
      </c>
    </row>
    <row r="138" spans="1:1" x14ac:dyDescent="0.3">
      <c r="A138">
        <v>137</v>
      </c>
    </row>
    <row r="139" spans="1:1" x14ac:dyDescent="0.3">
      <c r="A139">
        <v>138</v>
      </c>
    </row>
    <row r="140" spans="1:1" x14ac:dyDescent="0.3">
      <c r="A140">
        <v>139</v>
      </c>
    </row>
    <row r="141" spans="1:1" x14ac:dyDescent="0.3">
      <c r="A141">
        <v>140</v>
      </c>
    </row>
    <row r="142" spans="1:1" x14ac:dyDescent="0.3">
      <c r="A142">
        <v>141</v>
      </c>
    </row>
    <row r="143" spans="1:1" x14ac:dyDescent="0.3">
      <c r="A143">
        <v>142</v>
      </c>
    </row>
    <row r="144" spans="1:1" x14ac:dyDescent="0.3">
      <c r="A144">
        <v>143</v>
      </c>
    </row>
    <row r="145" spans="1:1" x14ac:dyDescent="0.3">
      <c r="A145">
        <v>144</v>
      </c>
    </row>
    <row r="146" spans="1:1" x14ac:dyDescent="0.3">
      <c r="A146">
        <v>145</v>
      </c>
    </row>
    <row r="147" spans="1:1" x14ac:dyDescent="0.3">
      <c r="A147">
        <v>146</v>
      </c>
    </row>
    <row r="148" spans="1:1" x14ac:dyDescent="0.3">
      <c r="A148">
        <v>147</v>
      </c>
    </row>
    <row r="149" spans="1:1" x14ac:dyDescent="0.3">
      <c r="A149">
        <v>148</v>
      </c>
    </row>
    <row r="150" spans="1:1" x14ac:dyDescent="0.3">
      <c r="A150">
        <v>149</v>
      </c>
    </row>
    <row r="151" spans="1:1" x14ac:dyDescent="0.3">
      <c r="A151">
        <v>150</v>
      </c>
    </row>
    <row r="152" spans="1:1" x14ac:dyDescent="0.3">
      <c r="A152">
        <v>151</v>
      </c>
    </row>
    <row r="153" spans="1:1" x14ac:dyDescent="0.3">
      <c r="A153">
        <v>152</v>
      </c>
    </row>
    <row r="154" spans="1:1" x14ac:dyDescent="0.3">
      <c r="A154">
        <v>153</v>
      </c>
    </row>
    <row r="155" spans="1:1" x14ac:dyDescent="0.3">
      <c r="A155">
        <v>154</v>
      </c>
    </row>
    <row r="156" spans="1:1" x14ac:dyDescent="0.3">
      <c r="A156">
        <v>155</v>
      </c>
    </row>
    <row r="157" spans="1:1" x14ac:dyDescent="0.3">
      <c r="A157">
        <v>156</v>
      </c>
    </row>
    <row r="158" spans="1:1" x14ac:dyDescent="0.3">
      <c r="A158">
        <v>157</v>
      </c>
    </row>
    <row r="159" spans="1:1" x14ac:dyDescent="0.3">
      <c r="A159">
        <v>158</v>
      </c>
    </row>
    <row r="160" spans="1:1" x14ac:dyDescent="0.3">
      <c r="A160">
        <v>159</v>
      </c>
    </row>
    <row r="161" spans="1:1" x14ac:dyDescent="0.3">
      <c r="A161">
        <v>160</v>
      </c>
    </row>
    <row r="162" spans="1:1" x14ac:dyDescent="0.3">
      <c r="A162">
        <v>161</v>
      </c>
    </row>
    <row r="163" spans="1:1" x14ac:dyDescent="0.3">
      <c r="A163">
        <v>162</v>
      </c>
    </row>
    <row r="164" spans="1:1" x14ac:dyDescent="0.3">
      <c r="A164">
        <v>163</v>
      </c>
    </row>
    <row r="165" spans="1:1" x14ac:dyDescent="0.3">
      <c r="A165">
        <v>164</v>
      </c>
    </row>
    <row r="166" spans="1:1" x14ac:dyDescent="0.3">
      <c r="A166">
        <v>165</v>
      </c>
    </row>
    <row r="167" spans="1:1" x14ac:dyDescent="0.3">
      <c r="A167">
        <v>166</v>
      </c>
    </row>
    <row r="168" spans="1:1" x14ac:dyDescent="0.3">
      <c r="A168">
        <v>167</v>
      </c>
    </row>
    <row r="169" spans="1:1" x14ac:dyDescent="0.3">
      <c r="A169">
        <v>168</v>
      </c>
    </row>
    <row r="170" spans="1:1" x14ac:dyDescent="0.3">
      <c r="A170">
        <v>169</v>
      </c>
    </row>
    <row r="171" spans="1:1" x14ac:dyDescent="0.3">
      <c r="A171">
        <v>170</v>
      </c>
    </row>
    <row r="172" spans="1:1" x14ac:dyDescent="0.3">
      <c r="A172">
        <v>171</v>
      </c>
    </row>
    <row r="173" spans="1:1" x14ac:dyDescent="0.3">
      <c r="A173">
        <v>172</v>
      </c>
    </row>
    <row r="174" spans="1:1" x14ac:dyDescent="0.3">
      <c r="A174">
        <v>173</v>
      </c>
    </row>
    <row r="175" spans="1:1" x14ac:dyDescent="0.3">
      <c r="A175">
        <v>174</v>
      </c>
    </row>
    <row r="176" spans="1:1" x14ac:dyDescent="0.3">
      <c r="A176">
        <v>175</v>
      </c>
    </row>
    <row r="177" spans="1:1" x14ac:dyDescent="0.3">
      <c r="A177">
        <v>176</v>
      </c>
    </row>
    <row r="178" spans="1:1" x14ac:dyDescent="0.3">
      <c r="A178">
        <v>177</v>
      </c>
    </row>
    <row r="179" spans="1:1" x14ac:dyDescent="0.3">
      <c r="A179">
        <v>178</v>
      </c>
    </row>
    <row r="180" spans="1:1" x14ac:dyDescent="0.3">
      <c r="A180">
        <v>179</v>
      </c>
    </row>
    <row r="181" spans="1:1" x14ac:dyDescent="0.3">
      <c r="A181">
        <v>180</v>
      </c>
    </row>
    <row r="182" spans="1:1" x14ac:dyDescent="0.3">
      <c r="A182">
        <v>181</v>
      </c>
    </row>
    <row r="183" spans="1:1" x14ac:dyDescent="0.3">
      <c r="A183">
        <v>182</v>
      </c>
    </row>
    <row r="184" spans="1:1" x14ac:dyDescent="0.3">
      <c r="A184">
        <v>183</v>
      </c>
    </row>
    <row r="185" spans="1:1" x14ac:dyDescent="0.3">
      <c r="A185">
        <v>184</v>
      </c>
    </row>
    <row r="186" spans="1:1" x14ac:dyDescent="0.3">
      <c r="A186">
        <v>185</v>
      </c>
    </row>
    <row r="187" spans="1:1" x14ac:dyDescent="0.3">
      <c r="A187">
        <v>186</v>
      </c>
    </row>
    <row r="188" spans="1:1" x14ac:dyDescent="0.3">
      <c r="A188">
        <v>187</v>
      </c>
    </row>
    <row r="189" spans="1:1" x14ac:dyDescent="0.3">
      <c r="A189">
        <v>188</v>
      </c>
    </row>
    <row r="190" spans="1:1" x14ac:dyDescent="0.3">
      <c r="A190">
        <v>189</v>
      </c>
    </row>
    <row r="191" spans="1:1" x14ac:dyDescent="0.3">
      <c r="A191">
        <v>190</v>
      </c>
    </row>
    <row r="192" spans="1:1" x14ac:dyDescent="0.3">
      <c r="A192">
        <v>191</v>
      </c>
    </row>
    <row r="193" spans="1:1" x14ac:dyDescent="0.3">
      <c r="A193">
        <v>192</v>
      </c>
    </row>
    <row r="194" spans="1:1" x14ac:dyDescent="0.3">
      <c r="A194">
        <v>193</v>
      </c>
    </row>
    <row r="195" spans="1:1" x14ac:dyDescent="0.3">
      <c r="A195">
        <v>194</v>
      </c>
    </row>
    <row r="196" spans="1:1" x14ac:dyDescent="0.3">
      <c r="A196">
        <v>195</v>
      </c>
    </row>
    <row r="197" spans="1:1" x14ac:dyDescent="0.3">
      <c r="A197">
        <v>196</v>
      </c>
    </row>
    <row r="198" spans="1:1" x14ac:dyDescent="0.3">
      <c r="A198">
        <v>197</v>
      </c>
    </row>
    <row r="199" spans="1:1" x14ac:dyDescent="0.3">
      <c r="A199">
        <v>198</v>
      </c>
    </row>
    <row r="200" spans="1:1" x14ac:dyDescent="0.3">
      <c r="A200">
        <v>199</v>
      </c>
    </row>
    <row r="201" spans="1:1" x14ac:dyDescent="0.3">
      <c r="A201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defaultRowHeight="14.4" x14ac:dyDescent="0.3"/>
  <cols>
    <col min="1" max="18" width="18" customWidth="1"/>
  </cols>
  <sheetData>
    <row r="1" spans="1:6" x14ac:dyDescent="0.3">
      <c r="A1" t="s">
        <v>29</v>
      </c>
    </row>
    <row r="2" spans="1:6" x14ac:dyDescent="0.3">
      <c r="A2" t="s">
        <v>30</v>
      </c>
    </row>
    <row r="4" spans="1:6" x14ac:dyDescent="0.3">
      <c r="A4" t="s">
        <v>31</v>
      </c>
    </row>
    <row r="5" spans="1:6" x14ac:dyDescent="0.3">
      <c r="A5" t="s">
        <v>3</v>
      </c>
    </row>
    <row r="6" spans="1:6" x14ac:dyDescent="0.3">
      <c r="A6" t="s">
        <v>4</v>
      </c>
    </row>
    <row r="7" spans="1:6" x14ac:dyDescent="0.3">
      <c r="A7" t="s">
        <v>5</v>
      </c>
    </row>
    <row r="8" spans="1:6" x14ac:dyDescent="0.3">
      <c r="A8" t="s">
        <v>7</v>
      </c>
    </row>
    <row r="9" spans="1:6" x14ac:dyDescent="0.3">
      <c r="A9" t="s">
        <v>8</v>
      </c>
    </row>
    <row r="10" spans="1:6" x14ac:dyDescent="0.3">
      <c r="A10" t="s">
        <v>9</v>
      </c>
    </row>
    <row r="11" spans="1:6" x14ac:dyDescent="0.3">
      <c r="A11" t="s">
        <v>6</v>
      </c>
    </row>
    <row r="12" spans="1:6" x14ac:dyDescent="0.3">
      <c r="A12" t="s">
        <v>10</v>
      </c>
    </row>
    <row r="14" spans="1:6" x14ac:dyDescent="0.3">
      <c r="A14" t="s">
        <v>32</v>
      </c>
    </row>
    <row r="15" spans="1:6" x14ac:dyDescent="0.3">
      <c r="A15" t="s">
        <v>33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2" sqref="B2"/>
    </sheetView>
  </sheetViews>
  <sheetFormatPr defaultRowHeight="14.4" x14ac:dyDescent="0.3"/>
  <cols>
    <col min="1" max="18" width="18" customWidth="1"/>
  </cols>
  <sheetData>
    <row r="1" spans="1:2" x14ac:dyDescent="0.3">
      <c r="A1" t="s">
        <v>55</v>
      </c>
      <c r="B1" t="s">
        <v>56</v>
      </c>
    </row>
    <row r="2" spans="1:2" x14ac:dyDescent="0.3">
      <c r="A2" t="s">
        <v>57</v>
      </c>
      <c r="B2">
        <f>COUNTA(Vehicule!F:F)-1</f>
        <v>64</v>
      </c>
    </row>
    <row r="3" spans="1:2" x14ac:dyDescent="0.3">
      <c r="A3" t="s">
        <v>58</v>
      </c>
      <c r="B3">
        <f>COUNTA(Șoferi!A:A)-1</f>
        <v>79</v>
      </c>
    </row>
    <row r="4" spans="1:2" x14ac:dyDescent="0.3">
      <c r="A4" t="s">
        <v>59</v>
      </c>
      <c r="B4">
        <f>SUMIFS('Revizii și intervenții'!I:I,'Revizii și intervenții'!C:C,"&gt;=" &amp; DATE(2025,1,1))</f>
        <v>1100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defaultRowHeight="14.4" x14ac:dyDescent="0.3"/>
  <cols>
    <col min="1" max="18" width="18" customWidth="1"/>
  </cols>
  <sheetData>
    <row r="1" spans="1:1" x14ac:dyDescent="0.3">
      <c r="A1" t="s">
        <v>60</v>
      </c>
    </row>
    <row r="2" spans="1:1" x14ac:dyDescent="0.3">
      <c r="A2" t="s">
        <v>61</v>
      </c>
    </row>
    <row r="5" spans="1:1" x14ac:dyDescent="0.3">
      <c r="A5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Parametri</vt:lpstr>
      <vt:lpstr>Șoferi</vt:lpstr>
      <vt:lpstr>Vehicule</vt:lpstr>
      <vt:lpstr>Acumulatoare</vt:lpstr>
      <vt:lpstr>Anvelope</vt:lpstr>
      <vt:lpstr>Revizii și intervenții</vt:lpstr>
      <vt:lpstr>Pașaport tehnic</vt:lpstr>
      <vt:lpstr>Rapoarte</vt:lpstr>
      <vt:lpstr>VBA_Code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Dancik</cp:lastModifiedBy>
  <dcterms:created xsi:type="dcterms:W3CDTF">2025-10-10T05:54:00Z</dcterms:created>
  <dcterms:modified xsi:type="dcterms:W3CDTF">2026-05-19T05:49:23Z</dcterms:modified>
</cp:coreProperties>
</file>